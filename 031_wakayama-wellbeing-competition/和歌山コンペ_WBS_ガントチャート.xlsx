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_ガントチャート" sheetId="1" state="visible" r:id="rId1"/>
    <sheet xmlns:r="http://schemas.openxmlformats.org/officeDocument/2006/relationships" name="使い方と進捗の定義" sheetId="2" state="visible" r:id="rId2"/>
  </sheets>
  <definedNames>
    <definedName name="_xlnm._FilterDatabase" localSheetId="0" hidden="1">'WBS_ガントチャート'!$A$4:$G$25</definedName>
    <definedName name="_xlnm.Print_Titles" localSheetId="0">'WBS_ガントチャート'!$1:$4,'WBS_ガントチャート'!$A:$G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"/>
    <numFmt numFmtId="166" formatCode="yyyy/m/d"/>
  </numFmts>
  <fonts count="21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color rgb="00FFFFFF"/>
      <sz val="11"/>
    </font>
    <font>
      <b val="1"/>
      <color rgb="00FFFFFF"/>
      <sz val="10"/>
    </font>
    <font>
      <b val="1"/>
      <color rgb="001F3864"/>
      <sz val="8"/>
    </font>
    <font>
      <color rgb="00404040"/>
      <sz val="8"/>
    </font>
    <font>
      <color rgb="000070C0"/>
      <sz val="8"/>
    </font>
    <font>
      <color rgb="00C00000"/>
      <sz val="8"/>
    </font>
    <font>
      <b val="1"/>
      <color rgb="001F3864"/>
      <sz val="10"/>
    </font>
    <font>
      <sz val="9"/>
    </font>
    <font>
      <color rgb="00000000"/>
      <sz val="10"/>
    </font>
    <font>
      <b val="1"/>
      <color rgb="00833C00"/>
      <sz val="10"/>
    </font>
    <font>
      <color rgb="00595959"/>
      <sz val="9"/>
    </font>
    <font>
      <b val="1"/>
      <color rgb="001F3864"/>
      <sz val="16"/>
    </font>
    <font>
      <b val="1"/>
      <color rgb="00FFFFFF"/>
      <sz val="12"/>
    </font>
    <font>
      <b val="1"/>
      <sz val="10"/>
    </font>
    <font>
      <b val="1"/>
      <color rgb="007F7F7F"/>
      <sz val="10"/>
    </font>
    <font>
      <b val="1"/>
      <color rgb="001F4E79"/>
      <sz val="10"/>
    </font>
    <font>
      <b val="1"/>
      <color rgb="00375623"/>
      <sz val="10"/>
    </font>
    <font>
      <color rgb="00C00000"/>
      <sz val="9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2E5F8A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4A86C8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DEEBF7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hair">
        <color rgb="00D9D9D9"/>
      </left>
      <right style="hair">
        <color rgb="00D9D9D9"/>
      </right>
      <top style="thin">
        <color rgb="00BFBFBF"/>
      </top>
    </border>
    <border>
      <left style="hair">
        <color rgb="00D9D9D9"/>
      </left>
      <right style="hair">
        <color rgb="00D9D9D9"/>
      </right>
      <bottom style="medium">
        <color rgb="007F7F7F"/>
      </bottom>
    </border>
    <border>
      <left style="thin">
        <color rgb="00BFBFBF"/>
      </left>
      <right style="thin">
        <color rgb="00BFBFBF"/>
      </right>
      <top style="hair">
        <color rgb="00D9D9D9"/>
      </top>
      <bottom style="hair">
        <color rgb="00D9D9D9"/>
      </bottom>
    </border>
    <border>
      <left style="hair">
        <color rgb="00D9D9D9"/>
      </left>
      <right style="hair">
        <color rgb="00D9D9D9"/>
      </right>
      <bottom style="hair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medium">
        <color rgb="007F7F7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center" vertical="center"/>
    </xf>
    <xf numFmtId="166" fontId="0" fillId="7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0" fontId="0" fillId="7" borderId="5" pivotButton="0" quotePrefix="0" xfId="0"/>
    <xf numFmtId="0" fontId="10" fillId="0" borderId="4" applyAlignment="1" pivotButton="0" quotePrefix="0" xfId="0">
      <alignment horizontal="left" vertical="center" indent="1"/>
    </xf>
    <xf numFmtId="0" fontId="0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9" fontId="0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 vertical="center" indent="2"/>
    </xf>
    <xf numFmtId="0" fontId="11" fillId="8" borderId="4" applyAlignment="1" pivotButton="0" quotePrefix="0" xfId="0">
      <alignment horizontal="left" vertical="center" indent="1"/>
    </xf>
    <xf numFmtId="0" fontId="0" fillId="8" borderId="4" applyAlignment="1" pivotButton="0" quotePrefix="0" xfId="0">
      <alignment horizontal="center" vertical="center"/>
    </xf>
    <xf numFmtId="166" fontId="0" fillId="8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0" fillId="8" borderId="4" applyAlignment="1" pivotButton="0" quotePrefix="0" xfId="0">
      <alignment horizontal="center" vertical="center"/>
    </xf>
    <xf numFmtId="0" fontId="0" fillId="8" borderId="5" pivotButton="0" quotePrefix="0" xfId="0"/>
    <xf numFmtId="0" fontId="8" fillId="0" borderId="0" pivotButton="0" quotePrefix="0" xfId="0"/>
    <xf numFmtId="0" fontId="0" fillId="9" borderId="6" pivotButton="0" quotePrefix="0" xfId="0"/>
    <xf numFmtId="0" fontId="0" fillId="0" borderId="0" applyAlignment="1" pivotButton="0" quotePrefix="0" xfId="0">
      <alignment horizontal="left"/>
    </xf>
    <xf numFmtId="0" fontId="0" fillId="10" borderId="6" pivotButton="0" quotePrefix="0" xfId="0"/>
    <xf numFmtId="0" fontId="0" fillId="8" borderId="6" pivotButton="0" quotePrefix="0" xfId="0"/>
    <xf numFmtId="0" fontId="0" fillId="7" borderId="6" pivotButton="0" quotePrefix="0" xfId="0"/>
    <xf numFmtId="0" fontId="0" fillId="5" borderId="6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9" fillId="0" borderId="4" applyAlignment="1" pivotButton="0" quotePrefix="0" xfId="0">
      <alignment horizontal="left" vertical="center" wrapText="1"/>
    </xf>
    <xf numFmtId="0" fontId="16" fillId="5" borderId="4" applyAlignment="1" pivotButton="0" quotePrefix="0" xfId="0">
      <alignment horizontal="center" vertical="center"/>
    </xf>
    <xf numFmtId="9" fontId="15" fillId="0" borderId="4" applyAlignment="1" pivotButton="0" quotePrefix="0" xfId="0">
      <alignment horizontal="center" vertical="center"/>
    </xf>
    <xf numFmtId="0" fontId="17" fillId="12" borderId="4" applyAlignment="1" pivotButton="0" quotePrefix="0" xfId="0">
      <alignment horizontal="center" vertical="center"/>
    </xf>
    <xf numFmtId="0" fontId="17" fillId="13" borderId="4" applyAlignment="1" pivotButton="0" quotePrefix="0" xfId="0">
      <alignment horizontal="center" vertical="center"/>
    </xf>
    <xf numFmtId="0" fontId="11" fillId="14" borderId="4" applyAlignment="1" pivotButton="0" quotePrefix="0" xfId="0">
      <alignment horizontal="center" vertical="center"/>
    </xf>
    <xf numFmtId="0" fontId="18" fillId="15" borderId="4" applyAlignment="1" pivotButton="0" quotePrefix="0" xfId="0">
      <alignment horizontal="center" vertical="center"/>
    </xf>
    <xf numFmtId="0" fontId="19" fillId="0" borderId="0" pivotButton="0" quotePrefix="0" xfId="0"/>
    <xf numFmtId="0" fontId="0" fillId="0" borderId="9" pivotButton="0" quotePrefix="0" xfId="0"/>
    <xf numFmtId="0" fontId="20" fillId="0" borderId="4" applyAlignment="1" pivotButton="0" quotePrefix="0" xfId="0">
      <alignment horizontal="left" vertical="center" wrapText="1"/>
    </xf>
  </cellXfs>
  <cellStyles count="1">
    <cellStyle name="Normal" xfId="0" builtinId="0" hidden="0"/>
  </cellStyles>
  <dxfs count="10">
    <dxf>
      <border>
        <left style="medium">
          <color rgb="00FF6B6B"/>
        </left>
        <right style="medium">
          <color rgb="00FF6B6B"/>
        </right>
      </border>
    </dxf>
    <dxf>
      <fill>
        <patternFill patternType="solid">
          <fgColor rgb="001F4E79"/>
          <bgColor rgb="001F4E79"/>
        </patternFill>
      </fill>
    </dxf>
    <dxf>
      <fill>
        <patternFill patternType="solid">
          <fgColor rgb="004A86C8"/>
          <bgColor rgb="004A86C8"/>
        </patternFill>
      </fill>
    </dxf>
    <dxf>
      <fill>
        <patternFill patternType="solid">
          <fgColor rgb="00FCE4E4"/>
          <bgColor rgb="00FCE4E4"/>
        </patternFill>
      </fill>
    </dxf>
    <dxf>
      <fill>
        <patternFill patternType="solid">
          <fgColor rgb="00F2F2F2"/>
          <bgColor rgb="00F2F2F2"/>
        </patternFill>
      </fill>
    </dxf>
    <dxf>
      <font>
        <color rgb="007F7F7F"/>
        <sz val="9"/>
      </font>
      <fill>
        <patternFill patternType="solid">
          <fgColor rgb="00F2F2F2"/>
          <bgColor rgb="00F2F2F2"/>
        </patternFill>
      </fill>
    </dxf>
    <dxf>
      <font>
        <color rgb="001F4E79"/>
        <sz val="9"/>
      </font>
      <fill>
        <patternFill patternType="solid">
          <fgColor rgb="00DEEBF7"/>
          <bgColor rgb="00DEEBF7"/>
        </patternFill>
      </fill>
    </dxf>
    <dxf>
      <font>
        <color rgb="001F4E79"/>
        <sz val="9"/>
      </font>
      <fill>
        <patternFill patternType="solid">
          <fgColor rgb="00BDD7EE"/>
          <bgColor rgb="00BDD7EE"/>
        </patternFill>
      </fill>
    </dxf>
    <dxf>
      <font>
        <color rgb="00833C00"/>
        <sz val="9"/>
      </font>
      <fill>
        <patternFill patternType="solid">
          <fgColor rgb="00FFE699"/>
          <bgColor rgb="00FFE699"/>
        </patternFill>
      </fill>
    </dxf>
    <dxf>
      <font>
        <b val="1"/>
        <color rgb="00375623"/>
        <sz val="9"/>
      </font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J38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1" customWidth="1" min="3" max="3"/>
    <col width="11" customWidth="1" min="4" max="4"/>
    <col width="6" customWidth="1" min="5" max="5"/>
    <col width="14" customWidth="1" min="6" max="6"/>
    <col width="8" customWidth="1" min="7" max="7"/>
    <col width="2.7" customWidth="1" min="8" max="8"/>
    <col width="2.7" customWidth="1" min="9" max="9"/>
    <col width="2.7" customWidth="1" min="10" max="10"/>
    <col width="2.7" customWidth="1" min="11" max="11"/>
    <col width="2.7" customWidth="1" min="12" max="12"/>
    <col width="2.7" customWidth="1" min="13" max="13"/>
    <col width="2.7" customWidth="1" min="14" max="14"/>
    <col width="2.7" customWidth="1" min="15" max="15"/>
    <col width="2.7" customWidth="1" min="16" max="16"/>
    <col width="2.7" customWidth="1" min="17" max="17"/>
    <col width="2.7" customWidth="1" min="18" max="18"/>
    <col width="2.7" customWidth="1" min="19" max="19"/>
    <col width="2.7" customWidth="1" min="20" max="20"/>
    <col width="2.7" customWidth="1" min="21" max="21"/>
    <col width="2.7" customWidth="1" min="22" max="22"/>
    <col width="2.7" customWidth="1" min="23" max="23"/>
    <col width="2.7" customWidth="1" min="24" max="24"/>
    <col width="2.7" customWidth="1" min="25" max="25"/>
    <col width="2.7" customWidth="1" min="26" max="26"/>
    <col width="2.7" customWidth="1" min="27" max="27"/>
    <col width="2.7" customWidth="1" min="28" max="28"/>
    <col width="2.7" customWidth="1" min="29" max="29"/>
    <col width="2.7" customWidth="1" min="30" max="30"/>
    <col width="2.7" customWidth="1" min="31" max="31"/>
    <col width="2.7" customWidth="1" min="32" max="32"/>
    <col width="2.7" customWidth="1" min="33" max="33"/>
    <col width="2.7" customWidth="1" min="34" max="34"/>
    <col width="2.7" customWidth="1" min="35" max="35"/>
    <col width="2.7" customWidth="1" min="36" max="36"/>
    <col width="2.7" customWidth="1" min="37" max="37"/>
    <col width="2.7" customWidth="1" min="38" max="38"/>
    <col width="2.7" customWidth="1" min="39" max="39"/>
    <col width="2.7" customWidth="1" min="40" max="40"/>
    <col width="2.7" customWidth="1" min="41" max="41"/>
    <col width="2.7" customWidth="1" min="42" max="42"/>
    <col width="2.7" customWidth="1" min="43" max="43"/>
    <col width="2.7" customWidth="1" min="44" max="44"/>
    <col width="2.7" customWidth="1" min="45" max="45"/>
    <col width="2.7" customWidth="1" min="46" max="46"/>
    <col width="2.7" customWidth="1" min="47" max="47"/>
    <col width="2.7" customWidth="1" min="48" max="48"/>
    <col width="2.7" customWidth="1" min="49" max="49"/>
    <col width="2.7" customWidth="1" min="50" max="50"/>
    <col width="2.7" customWidth="1" min="51" max="51"/>
    <col width="2.7" customWidth="1" min="52" max="52"/>
    <col width="2.7" customWidth="1" min="53" max="53"/>
    <col width="2.7" customWidth="1" min="54" max="54"/>
    <col width="2.7" customWidth="1" min="55" max="55"/>
    <col width="2.7" customWidth="1" min="56" max="56"/>
    <col width="2.7" customWidth="1" min="57" max="57"/>
    <col width="2.7" customWidth="1" min="58" max="58"/>
    <col width="2.7" customWidth="1" min="59" max="59"/>
    <col width="2.7" customWidth="1" min="60" max="60"/>
    <col width="2.7" customWidth="1" min="61" max="61"/>
    <col width="2.7" customWidth="1" min="62" max="62"/>
    <col width="2.7" customWidth="1" min="63" max="63"/>
    <col width="2.7" customWidth="1" min="64" max="64"/>
    <col width="2.7" customWidth="1" min="65" max="65"/>
    <col width="2.7" customWidth="1" min="66" max="66"/>
    <col width="2.7" customWidth="1" min="67" max="67"/>
    <col width="2.7" customWidth="1" min="68" max="68"/>
    <col width="2.7" customWidth="1" min="69" max="69"/>
    <col width="2.7" customWidth="1" min="70" max="70"/>
    <col width="2.7" customWidth="1" min="71" max="71"/>
    <col width="2.7" customWidth="1" min="72" max="72"/>
    <col width="2.7" customWidth="1" min="73" max="73"/>
    <col width="2.7" customWidth="1" min="74" max="74"/>
    <col width="2.7" customWidth="1" min="75" max="75"/>
    <col width="2.7" customWidth="1" min="76" max="76"/>
    <col width="2.7" customWidth="1" min="77" max="77"/>
    <col width="2.7" customWidth="1" min="78" max="78"/>
    <col width="2.7" customWidth="1" min="79" max="79"/>
    <col width="2.7" customWidth="1" min="80" max="80"/>
    <col width="2.7" customWidth="1" min="81" max="81"/>
    <col width="2.7" customWidth="1" min="82" max="82"/>
    <col width="2.7" customWidth="1" min="83" max="83"/>
    <col width="2.7" customWidth="1" min="84" max="84"/>
    <col width="2.7" customWidth="1" min="85" max="85"/>
    <col width="2.7" customWidth="1" min="86" max="86"/>
    <col width="2.7" customWidth="1" min="87" max="87"/>
    <col width="2.7" customWidth="1" min="88" max="88"/>
    <col width="2.7" customWidth="1" min="89" max="89"/>
    <col width="2.7" customWidth="1" min="90" max="90"/>
    <col width="2.7" customWidth="1" min="91" max="91"/>
    <col width="2.7" customWidth="1" min="92" max="92"/>
    <col width="2.7" customWidth="1" min="93" max="93"/>
    <col width="2.7" customWidth="1" min="94" max="94"/>
    <col width="2.7" customWidth="1" min="95" max="95"/>
    <col width="2.7" customWidth="1" min="96" max="96"/>
    <col width="2.7" customWidth="1" min="97" max="97"/>
    <col width="2.7" customWidth="1" min="98" max="98"/>
    <col width="2.7" customWidth="1" min="99" max="99"/>
    <col width="2.7" customWidth="1" min="100" max="100"/>
    <col width="2.7" customWidth="1" min="101" max="101"/>
    <col width="2.7" customWidth="1" min="102" max="102"/>
    <col width="2.7" customWidth="1" min="103" max="103"/>
    <col width="2.7" customWidth="1" min="104" max="104"/>
    <col width="2.7" customWidth="1" min="105" max="105"/>
    <col width="2.7" customWidth="1" min="106" max="106"/>
    <col width="2.7" customWidth="1" min="107" max="107"/>
    <col width="2.7" customWidth="1" min="108" max="108"/>
    <col width="2.7" customWidth="1" min="109" max="109"/>
    <col width="2.7" customWidth="1" min="110" max="110"/>
    <col width="2.7" customWidth="1" min="111" max="111"/>
    <col width="2.7" customWidth="1" min="112" max="112"/>
    <col width="2.7" customWidth="1" min="113" max="113"/>
    <col width="2.7" customWidth="1" min="114" max="114"/>
    <col width="2.7" customWidth="1" min="115" max="115"/>
    <col width="2.7" customWidth="1" min="116" max="116"/>
    <col width="2.7" customWidth="1" min="117" max="117"/>
    <col width="2.7" customWidth="1" min="118" max="118"/>
    <col width="2.7" customWidth="1" min="119" max="119"/>
    <col width="2.7" customWidth="1" min="120" max="120"/>
    <col width="2.7" customWidth="1" min="121" max="121"/>
    <col width="2.7" customWidth="1" min="122" max="122"/>
    <col width="2.7" customWidth="1" min="123" max="123"/>
    <col width="2.7" customWidth="1" min="124" max="124"/>
    <col width="2.7" customWidth="1" min="125" max="125"/>
    <col width="2.7" customWidth="1" min="126" max="126"/>
    <col width="2.7" customWidth="1" min="127" max="127"/>
    <col width="2.7" customWidth="1" min="128" max="128"/>
    <col width="2.7" customWidth="1" min="129" max="129"/>
    <col width="2.7" customWidth="1" min="130" max="130"/>
    <col width="2.7" customWidth="1" min="131" max="131"/>
    <col width="2.7" customWidth="1" min="132" max="132"/>
    <col width="2.7" customWidth="1" min="133" max="133"/>
    <col width="2.7" customWidth="1" min="134" max="134"/>
    <col width="2.7" customWidth="1" min="135" max="135"/>
    <col width="2.7" customWidth="1" min="136" max="136"/>
    <col width="2.7" customWidth="1" min="137" max="137"/>
    <col width="2.7" customWidth="1" min="138" max="138"/>
    <col width="2.7" customWidth="1" min="139" max="139"/>
    <col width="2.7" customWidth="1" min="140" max="140"/>
  </cols>
  <sheetData>
    <row r="1" ht="18" customHeight="1">
      <c r="A1" s="1" t="inlineStr">
        <is>
          <t>タスクのタイトル</t>
        </is>
      </c>
      <c r="B1" s="1" t="inlineStr">
        <is>
          <t>タスクオーナー</t>
        </is>
      </c>
      <c r="C1" s="1" t="inlineStr">
        <is>
          <t>開始日</t>
        </is>
      </c>
      <c r="D1" s="1" t="inlineStr">
        <is>
          <t>期限</t>
        </is>
      </c>
      <c r="E1" s="1" t="inlineStr">
        <is>
          <t>期間</t>
        </is>
      </c>
      <c r="F1" s="1" t="inlineStr">
        <is>
          <t>ステータス</t>
        </is>
      </c>
      <c r="G1" s="1" t="inlineStr">
        <is>
          <t>進捗率</t>
        </is>
      </c>
      <c r="H1" s="2" t="inlineStr">
        <is>
          <t>2026年8月</t>
        </is>
      </c>
      <c r="AK1" s="2" t="inlineStr">
        <is>
          <t>2026年9月</t>
        </is>
      </c>
      <c r="BO1" s="2" t="inlineStr">
        <is>
          <t>2026年10月</t>
        </is>
      </c>
      <c r="CT1" s="2" t="inlineStr">
        <is>
          <t>2026年11月</t>
        </is>
      </c>
      <c r="DX1" s="2" t="inlineStr">
        <is>
          <t>2026年12月</t>
        </is>
      </c>
    </row>
    <row r="2" ht="16" customHeight="1">
      <c r="H2" s="3" t="inlineStr">
        <is>
          <t>第1週</t>
        </is>
      </c>
      <c r="O2" s="3" t="inlineStr">
        <is>
          <t>第2週</t>
        </is>
      </c>
      <c r="V2" s="3" t="inlineStr">
        <is>
          <t>第3週</t>
        </is>
      </c>
      <c r="AC2" s="3" t="inlineStr">
        <is>
          <t>第4週</t>
        </is>
      </c>
      <c r="AJ2" s="3" t="inlineStr">
        <is>
          <t>第5週</t>
        </is>
      </c>
      <c r="AQ2" s="3" t="inlineStr">
        <is>
          <t>第6週</t>
        </is>
      </c>
      <c r="AX2" s="3" t="inlineStr">
        <is>
          <t>第7週</t>
        </is>
      </c>
      <c r="BE2" s="3" t="inlineStr">
        <is>
          <t>第8週</t>
        </is>
      </c>
      <c r="BL2" s="3" t="inlineStr">
        <is>
          <t>第9週</t>
        </is>
      </c>
      <c r="BS2" s="3" t="inlineStr">
        <is>
          <t>第10週</t>
        </is>
      </c>
      <c r="BZ2" s="3" t="inlineStr">
        <is>
          <t>第11週</t>
        </is>
      </c>
      <c r="CG2" s="3" t="inlineStr">
        <is>
          <t>第12週</t>
        </is>
      </c>
      <c r="CN2" s="3" t="inlineStr">
        <is>
          <t>第13週</t>
        </is>
      </c>
      <c r="CU2" s="3" t="inlineStr">
        <is>
          <t>第14週</t>
        </is>
      </c>
      <c r="DB2" s="3" t="inlineStr">
        <is>
          <t>第15週</t>
        </is>
      </c>
      <c r="DI2" s="3" t="inlineStr">
        <is>
          <t>第16週</t>
        </is>
      </c>
      <c r="DP2" s="3" t="inlineStr">
        <is>
          <t>第17週</t>
        </is>
      </c>
      <c r="DW2" s="3" t="inlineStr">
        <is>
          <t>第18週</t>
        </is>
      </c>
      <c r="ED2" s="3" t="inlineStr">
        <is>
          <t>第19週</t>
        </is>
      </c>
    </row>
    <row r="3" ht="14" customHeight="1">
      <c r="H3" s="4" t="n">
        <v>46237</v>
      </c>
      <c r="I3" s="4" t="n">
        <v>46238</v>
      </c>
      <c r="J3" s="4" t="n">
        <v>46239</v>
      </c>
      <c r="K3" s="4" t="n">
        <v>46240</v>
      </c>
      <c r="L3" s="4" t="n">
        <v>46241</v>
      </c>
      <c r="M3" s="5" t="n">
        <v>46242</v>
      </c>
      <c r="N3" s="6" t="n">
        <v>46243</v>
      </c>
      <c r="O3" s="4" t="n">
        <v>46244</v>
      </c>
      <c r="P3" s="4" t="n">
        <v>46245</v>
      </c>
      <c r="Q3" s="4" t="n">
        <v>46246</v>
      </c>
      <c r="R3" s="4" t="n">
        <v>46247</v>
      </c>
      <c r="S3" s="4" t="n">
        <v>46248</v>
      </c>
      <c r="T3" s="5" t="n">
        <v>46249</v>
      </c>
      <c r="U3" s="6" t="n">
        <v>46250</v>
      </c>
      <c r="V3" s="4" t="n">
        <v>46251</v>
      </c>
      <c r="W3" s="4" t="n">
        <v>46252</v>
      </c>
      <c r="X3" s="4" t="n">
        <v>46253</v>
      </c>
      <c r="Y3" s="4" t="n">
        <v>46254</v>
      </c>
      <c r="Z3" s="4" t="n">
        <v>46255</v>
      </c>
      <c r="AA3" s="5" t="n">
        <v>46256</v>
      </c>
      <c r="AB3" s="6" t="n">
        <v>46257</v>
      </c>
      <c r="AC3" s="4" t="n">
        <v>46258</v>
      </c>
      <c r="AD3" s="4" t="n">
        <v>46259</v>
      </c>
      <c r="AE3" s="4" t="n">
        <v>46260</v>
      </c>
      <c r="AF3" s="4" t="n">
        <v>46261</v>
      </c>
      <c r="AG3" s="4" t="n">
        <v>46262</v>
      </c>
      <c r="AH3" s="5" t="n">
        <v>46263</v>
      </c>
      <c r="AI3" s="6" t="n">
        <v>46264</v>
      </c>
      <c r="AJ3" s="4" t="n">
        <v>46265</v>
      </c>
      <c r="AK3" s="4" t="n">
        <v>46266</v>
      </c>
      <c r="AL3" s="4" t="n">
        <v>46267</v>
      </c>
      <c r="AM3" s="4" t="n">
        <v>46268</v>
      </c>
      <c r="AN3" s="4" t="n">
        <v>46269</v>
      </c>
      <c r="AO3" s="5" t="n">
        <v>46270</v>
      </c>
      <c r="AP3" s="6" t="n">
        <v>46271</v>
      </c>
      <c r="AQ3" s="4" t="n">
        <v>46272</v>
      </c>
      <c r="AR3" s="4" t="n">
        <v>46273</v>
      </c>
      <c r="AS3" s="4" t="n">
        <v>46274</v>
      </c>
      <c r="AT3" s="4" t="n">
        <v>46275</v>
      </c>
      <c r="AU3" s="4" t="n">
        <v>46276</v>
      </c>
      <c r="AV3" s="5" t="n">
        <v>46277</v>
      </c>
      <c r="AW3" s="6" t="n">
        <v>46278</v>
      </c>
      <c r="AX3" s="4" t="n">
        <v>46279</v>
      </c>
      <c r="AY3" s="4" t="n">
        <v>46280</v>
      </c>
      <c r="AZ3" s="4" t="n">
        <v>46281</v>
      </c>
      <c r="BA3" s="4" t="n">
        <v>46282</v>
      </c>
      <c r="BB3" s="4" t="n">
        <v>46283</v>
      </c>
      <c r="BC3" s="5" t="n">
        <v>46284</v>
      </c>
      <c r="BD3" s="6" t="n">
        <v>46285</v>
      </c>
      <c r="BE3" s="4" t="n">
        <v>46286</v>
      </c>
      <c r="BF3" s="4" t="n">
        <v>46287</v>
      </c>
      <c r="BG3" s="4" t="n">
        <v>46288</v>
      </c>
      <c r="BH3" s="4" t="n">
        <v>46289</v>
      </c>
      <c r="BI3" s="4" t="n">
        <v>46290</v>
      </c>
      <c r="BJ3" s="5" t="n">
        <v>46291</v>
      </c>
      <c r="BK3" s="6" t="n">
        <v>46292</v>
      </c>
      <c r="BL3" s="4" t="n">
        <v>46293</v>
      </c>
      <c r="BM3" s="4" t="n">
        <v>46294</v>
      </c>
      <c r="BN3" s="4" t="n">
        <v>46295</v>
      </c>
      <c r="BO3" s="4" t="n">
        <v>46296</v>
      </c>
      <c r="BP3" s="4" t="n">
        <v>46297</v>
      </c>
      <c r="BQ3" s="5" t="n">
        <v>46298</v>
      </c>
      <c r="BR3" s="6" t="n">
        <v>46299</v>
      </c>
      <c r="BS3" s="4" t="n">
        <v>46300</v>
      </c>
      <c r="BT3" s="4" t="n">
        <v>46301</v>
      </c>
      <c r="BU3" s="4" t="n">
        <v>46302</v>
      </c>
      <c r="BV3" s="4" t="n">
        <v>46303</v>
      </c>
      <c r="BW3" s="4" t="n">
        <v>46304</v>
      </c>
      <c r="BX3" s="5" t="n">
        <v>46305</v>
      </c>
      <c r="BY3" s="6" t="n">
        <v>46306</v>
      </c>
      <c r="BZ3" s="4" t="n">
        <v>46307</v>
      </c>
      <c r="CA3" s="4" t="n">
        <v>46308</v>
      </c>
      <c r="CB3" s="4" t="n">
        <v>46309</v>
      </c>
      <c r="CC3" s="4" t="n">
        <v>46310</v>
      </c>
      <c r="CD3" s="4" t="n">
        <v>46311</v>
      </c>
      <c r="CE3" s="5" t="n">
        <v>46312</v>
      </c>
      <c r="CF3" s="6" t="n">
        <v>46313</v>
      </c>
      <c r="CG3" s="4" t="n">
        <v>46314</v>
      </c>
      <c r="CH3" s="4" t="n">
        <v>46315</v>
      </c>
      <c r="CI3" s="4" t="n">
        <v>46316</v>
      </c>
      <c r="CJ3" s="4" t="n">
        <v>46317</v>
      </c>
      <c r="CK3" s="4" t="n">
        <v>46318</v>
      </c>
      <c r="CL3" s="5" t="n">
        <v>46319</v>
      </c>
      <c r="CM3" s="6" t="n">
        <v>46320</v>
      </c>
      <c r="CN3" s="4" t="n">
        <v>46321</v>
      </c>
      <c r="CO3" s="4" t="n">
        <v>46322</v>
      </c>
      <c r="CP3" s="4" t="n">
        <v>46323</v>
      </c>
      <c r="CQ3" s="4" t="n">
        <v>46324</v>
      </c>
      <c r="CR3" s="4" t="n">
        <v>46325</v>
      </c>
      <c r="CS3" s="5" t="n">
        <v>46326</v>
      </c>
      <c r="CT3" s="6" t="n">
        <v>46327</v>
      </c>
      <c r="CU3" s="4" t="n">
        <v>46328</v>
      </c>
      <c r="CV3" s="4" t="n">
        <v>46329</v>
      </c>
      <c r="CW3" s="4" t="n">
        <v>46330</v>
      </c>
      <c r="CX3" s="4" t="n">
        <v>46331</v>
      </c>
      <c r="CY3" s="4" t="n">
        <v>46332</v>
      </c>
      <c r="CZ3" s="5" t="n">
        <v>46333</v>
      </c>
      <c r="DA3" s="6" t="n">
        <v>46334</v>
      </c>
      <c r="DB3" s="4" t="n">
        <v>46335</v>
      </c>
      <c r="DC3" s="4" t="n">
        <v>46336</v>
      </c>
      <c r="DD3" s="4" t="n">
        <v>46337</v>
      </c>
      <c r="DE3" s="4" t="n">
        <v>46338</v>
      </c>
      <c r="DF3" s="4" t="n">
        <v>46339</v>
      </c>
      <c r="DG3" s="5" t="n">
        <v>46340</v>
      </c>
      <c r="DH3" s="6" t="n">
        <v>46341</v>
      </c>
      <c r="DI3" s="4" t="n">
        <v>46342</v>
      </c>
      <c r="DJ3" s="4" t="n">
        <v>46343</v>
      </c>
      <c r="DK3" s="4" t="n">
        <v>46344</v>
      </c>
      <c r="DL3" s="4" t="n">
        <v>46345</v>
      </c>
      <c r="DM3" s="4" t="n">
        <v>46346</v>
      </c>
      <c r="DN3" s="5" t="n">
        <v>46347</v>
      </c>
      <c r="DO3" s="6" t="n">
        <v>46348</v>
      </c>
      <c r="DP3" s="4" t="n">
        <v>46349</v>
      </c>
      <c r="DQ3" s="4" t="n">
        <v>46350</v>
      </c>
      <c r="DR3" s="4" t="n">
        <v>46351</v>
      </c>
      <c r="DS3" s="4" t="n">
        <v>46352</v>
      </c>
      <c r="DT3" s="4" t="n">
        <v>46353</v>
      </c>
      <c r="DU3" s="5" t="n">
        <v>46354</v>
      </c>
      <c r="DV3" s="6" t="n">
        <v>46355</v>
      </c>
      <c r="DW3" s="4" t="n">
        <v>46356</v>
      </c>
      <c r="DX3" s="4" t="n">
        <v>46357</v>
      </c>
      <c r="DY3" s="4" t="n">
        <v>46358</v>
      </c>
      <c r="DZ3" s="4" t="n">
        <v>46359</v>
      </c>
      <c r="EA3" s="4" t="n">
        <v>46360</v>
      </c>
      <c r="EB3" s="5" t="n">
        <v>46361</v>
      </c>
      <c r="EC3" s="6" t="n">
        <v>46362</v>
      </c>
      <c r="ED3" s="4" t="n">
        <v>46363</v>
      </c>
      <c r="EE3" s="4" t="n">
        <v>46364</v>
      </c>
      <c r="EF3" s="4" t="n">
        <v>46365</v>
      </c>
      <c r="EG3" s="4" t="n">
        <v>46366</v>
      </c>
      <c r="EH3" s="4" t="n">
        <v>46367</v>
      </c>
      <c r="EI3" s="5" t="n">
        <v>46368</v>
      </c>
      <c r="EJ3" s="6" t="n">
        <v>46369</v>
      </c>
    </row>
    <row r="4" ht="14" customHeight="1">
      <c r="H4" s="7" t="inlineStr">
        <is>
          <t>月</t>
        </is>
      </c>
      <c r="I4" s="7" t="inlineStr">
        <is>
          <t>火</t>
        </is>
      </c>
      <c r="J4" s="7" t="inlineStr">
        <is>
          <t>水</t>
        </is>
      </c>
      <c r="K4" s="7" t="inlineStr">
        <is>
          <t>木</t>
        </is>
      </c>
      <c r="L4" s="7" t="inlineStr">
        <is>
          <t>金</t>
        </is>
      </c>
      <c r="M4" s="8" t="inlineStr">
        <is>
          <t>土</t>
        </is>
      </c>
      <c r="N4" s="9" t="inlineStr">
        <is>
          <t>日</t>
        </is>
      </c>
      <c r="O4" s="7" t="inlineStr">
        <is>
          <t>月</t>
        </is>
      </c>
      <c r="P4" s="7" t="inlineStr">
        <is>
          <t>火</t>
        </is>
      </c>
      <c r="Q4" s="7" t="inlineStr">
        <is>
          <t>水</t>
        </is>
      </c>
      <c r="R4" s="7" t="inlineStr">
        <is>
          <t>木</t>
        </is>
      </c>
      <c r="S4" s="7" t="inlineStr">
        <is>
          <t>金</t>
        </is>
      </c>
      <c r="T4" s="8" t="inlineStr">
        <is>
          <t>土</t>
        </is>
      </c>
      <c r="U4" s="9" t="inlineStr">
        <is>
          <t>日</t>
        </is>
      </c>
      <c r="V4" s="7" t="inlineStr">
        <is>
          <t>月</t>
        </is>
      </c>
      <c r="W4" s="7" t="inlineStr">
        <is>
          <t>火</t>
        </is>
      </c>
      <c r="X4" s="7" t="inlineStr">
        <is>
          <t>水</t>
        </is>
      </c>
      <c r="Y4" s="7" t="inlineStr">
        <is>
          <t>木</t>
        </is>
      </c>
      <c r="Z4" s="7" t="inlineStr">
        <is>
          <t>金</t>
        </is>
      </c>
      <c r="AA4" s="8" t="inlineStr">
        <is>
          <t>土</t>
        </is>
      </c>
      <c r="AB4" s="9" t="inlineStr">
        <is>
          <t>日</t>
        </is>
      </c>
      <c r="AC4" s="7" t="inlineStr">
        <is>
          <t>月</t>
        </is>
      </c>
      <c r="AD4" s="7" t="inlineStr">
        <is>
          <t>火</t>
        </is>
      </c>
      <c r="AE4" s="7" t="inlineStr">
        <is>
          <t>水</t>
        </is>
      </c>
      <c r="AF4" s="7" t="inlineStr">
        <is>
          <t>木</t>
        </is>
      </c>
      <c r="AG4" s="7" t="inlineStr">
        <is>
          <t>金</t>
        </is>
      </c>
      <c r="AH4" s="8" t="inlineStr">
        <is>
          <t>土</t>
        </is>
      </c>
      <c r="AI4" s="9" t="inlineStr">
        <is>
          <t>日</t>
        </is>
      </c>
      <c r="AJ4" s="7" t="inlineStr">
        <is>
          <t>月</t>
        </is>
      </c>
      <c r="AK4" s="7" t="inlineStr">
        <is>
          <t>火</t>
        </is>
      </c>
      <c r="AL4" s="7" t="inlineStr">
        <is>
          <t>水</t>
        </is>
      </c>
      <c r="AM4" s="7" t="inlineStr">
        <is>
          <t>木</t>
        </is>
      </c>
      <c r="AN4" s="7" t="inlineStr">
        <is>
          <t>金</t>
        </is>
      </c>
      <c r="AO4" s="8" t="inlineStr">
        <is>
          <t>土</t>
        </is>
      </c>
      <c r="AP4" s="9" t="inlineStr">
        <is>
          <t>日</t>
        </is>
      </c>
      <c r="AQ4" s="7" t="inlineStr">
        <is>
          <t>月</t>
        </is>
      </c>
      <c r="AR4" s="7" t="inlineStr">
        <is>
          <t>火</t>
        </is>
      </c>
      <c r="AS4" s="7" t="inlineStr">
        <is>
          <t>水</t>
        </is>
      </c>
      <c r="AT4" s="7" t="inlineStr">
        <is>
          <t>木</t>
        </is>
      </c>
      <c r="AU4" s="7" t="inlineStr">
        <is>
          <t>金</t>
        </is>
      </c>
      <c r="AV4" s="8" t="inlineStr">
        <is>
          <t>土</t>
        </is>
      </c>
      <c r="AW4" s="9" t="inlineStr">
        <is>
          <t>日</t>
        </is>
      </c>
      <c r="AX4" s="7" t="inlineStr">
        <is>
          <t>月</t>
        </is>
      </c>
      <c r="AY4" s="7" t="inlineStr">
        <is>
          <t>火</t>
        </is>
      </c>
      <c r="AZ4" s="7" t="inlineStr">
        <is>
          <t>水</t>
        </is>
      </c>
      <c r="BA4" s="7" t="inlineStr">
        <is>
          <t>木</t>
        </is>
      </c>
      <c r="BB4" s="7" t="inlineStr">
        <is>
          <t>金</t>
        </is>
      </c>
      <c r="BC4" s="8" t="inlineStr">
        <is>
          <t>土</t>
        </is>
      </c>
      <c r="BD4" s="9" t="inlineStr">
        <is>
          <t>日</t>
        </is>
      </c>
      <c r="BE4" s="7" t="inlineStr">
        <is>
          <t>月</t>
        </is>
      </c>
      <c r="BF4" s="7" t="inlineStr">
        <is>
          <t>火</t>
        </is>
      </c>
      <c r="BG4" s="7" t="inlineStr">
        <is>
          <t>水</t>
        </is>
      </c>
      <c r="BH4" s="7" t="inlineStr">
        <is>
          <t>木</t>
        </is>
      </c>
      <c r="BI4" s="7" t="inlineStr">
        <is>
          <t>金</t>
        </is>
      </c>
      <c r="BJ4" s="8" t="inlineStr">
        <is>
          <t>土</t>
        </is>
      </c>
      <c r="BK4" s="9" t="inlineStr">
        <is>
          <t>日</t>
        </is>
      </c>
      <c r="BL4" s="7" t="inlineStr">
        <is>
          <t>月</t>
        </is>
      </c>
      <c r="BM4" s="7" t="inlineStr">
        <is>
          <t>火</t>
        </is>
      </c>
      <c r="BN4" s="7" t="inlineStr">
        <is>
          <t>水</t>
        </is>
      </c>
      <c r="BO4" s="7" t="inlineStr">
        <is>
          <t>木</t>
        </is>
      </c>
      <c r="BP4" s="7" t="inlineStr">
        <is>
          <t>金</t>
        </is>
      </c>
      <c r="BQ4" s="8" t="inlineStr">
        <is>
          <t>土</t>
        </is>
      </c>
      <c r="BR4" s="9" t="inlineStr">
        <is>
          <t>日</t>
        </is>
      </c>
      <c r="BS4" s="7" t="inlineStr">
        <is>
          <t>月</t>
        </is>
      </c>
      <c r="BT4" s="7" t="inlineStr">
        <is>
          <t>火</t>
        </is>
      </c>
      <c r="BU4" s="7" t="inlineStr">
        <is>
          <t>水</t>
        </is>
      </c>
      <c r="BV4" s="7" t="inlineStr">
        <is>
          <t>木</t>
        </is>
      </c>
      <c r="BW4" s="7" t="inlineStr">
        <is>
          <t>金</t>
        </is>
      </c>
      <c r="BX4" s="8" t="inlineStr">
        <is>
          <t>土</t>
        </is>
      </c>
      <c r="BY4" s="9" t="inlineStr">
        <is>
          <t>日</t>
        </is>
      </c>
      <c r="BZ4" s="7" t="inlineStr">
        <is>
          <t>月</t>
        </is>
      </c>
      <c r="CA4" s="7" t="inlineStr">
        <is>
          <t>火</t>
        </is>
      </c>
      <c r="CB4" s="7" t="inlineStr">
        <is>
          <t>水</t>
        </is>
      </c>
      <c r="CC4" s="7" t="inlineStr">
        <is>
          <t>木</t>
        </is>
      </c>
      <c r="CD4" s="7" t="inlineStr">
        <is>
          <t>金</t>
        </is>
      </c>
      <c r="CE4" s="8" t="inlineStr">
        <is>
          <t>土</t>
        </is>
      </c>
      <c r="CF4" s="9" t="inlineStr">
        <is>
          <t>日</t>
        </is>
      </c>
      <c r="CG4" s="7" t="inlineStr">
        <is>
          <t>月</t>
        </is>
      </c>
      <c r="CH4" s="7" t="inlineStr">
        <is>
          <t>火</t>
        </is>
      </c>
      <c r="CI4" s="7" t="inlineStr">
        <is>
          <t>水</t>
        </is>
      </c>
      <c r="CJ4" s="7" t="inlineStr">
        <is>
          <t>木</t>
        </is>
      </c>
      <c r="CK4" s="7" t="inlineStr">
        <is>
          <t>金</t>
        </is>
      </c>
      <c r="CL4" s="8" t="inlineStr">
        <is>
          <t>土</t>
        </is>
      </c>
      <c r="CM4" s="9" t="inlineStr">
        <is>
          <t>日</t>
        </is>
      </c>
      <c r="CN4" s="7" t="inlineStr">
        <is>
          <t>月</t>
        </is>
      </c>
      <c r="CO4" s="7" t="inlineStr">
        <is>
          <t>火</t>
        </is>
      </c>
      <c r="CP4" s="7" t="inlineStr">
        <is>
          <t>水</t>
        </is>
      </c>
      <c r="CQ4" s="7" t="inlineStr">
        <is>
          <t>木</t>
        </is>
      </c>
      <c r="CR4" s="7" t="inlineStr">
        <is>
          <t>金</t>
        </is>
      </c>
      <c r="CS4" s="8" t="inlineStr">
        <is>
          <t>土</t>
        </is>
      </c>
      <c r="CT4" s="9" t="inlineStr">
        <is>
          <t>日</t>
        </is>
      </c>
      <c r="CU4" s="7" t="inlineStr">
        <is>
          <t>月</t>
        </is>
      </c>
      <c r="CV4" s="7" t="inlineStr">
        <is>
          <t>火</t>
        </is>
      </c>
      <c r="CW4" s="7" t="inlineStr">
        <is>
          <t>水</t>
        </is>
      </c>
      <c r="CX4" s="7" t="inlineStr">
        <is>
          <t>木</t>
        </is>
      </c>
      <c r="CY4" s="7" t="inlineStr">
        <is>
          <t>金</t>
        </is>
      </c>
      <c r="CZ4" s="8" t="inlineStr">
        <is>
          <t>土</t>
        </is>
      </c>
      <c r="DA4" s="9" t="inlineStr">
        <is>
          <t>日</t>
        </is>
      </c>
      <c r="DB4" s="7" t="inlineStr">
        <is>
          <t>月</t>
        </is>
      </c>
      <c r="DC4" s="7" t="inlineStr">
        <is>
          <t>火</t>
        </is>
      </c>
      <c r="DD4" s="7" t="inlineStr">
        <is>
          <t>水</t>
        </is>
      </c>
      <c r="DE4" s="7" t="inlineStr">
        <is>
          <t>木</t>
        </is>
      </c>
      <c r="DF4" s="7" t="inlineStr">
        <is>
          <t>金</t>
        </is>
      </c>
      <c r="DG4" s="8" t="inlineStr">
        <is>
          <t>土</t>
        </is>
      </c>
      <c r="DH4" s="9" t="inlineStr">
        <is>
          <t>日</t>
        </is>
      </c>
      <c r="DI4" s="7" t="inlineStr">
        <is>
          <t>月</t>
        </is>
      </c>
      <c r="DJ4" s="7" t="inlineStr">
        <is>
          <t>火</t>
        </is>
      </c>
      <c r="DK4" s="7" t="inlineStr">
        <is>
          <t>水</t>
        </is>
      </c>
      <c r="DL4" s="7" t="inlineStr">
        <is>
          <t>木</t>
        </is>
      </c>
      <c r="DM4" s="7" t="inlineStr">
        <is>
          <t>金</t>
        </is>
      </c>
      <c r="DN4" s="8" t="inlineStr">
        <is>
          <t>土</t>
        </is>
      </c>
      <c r="DO4" s="9" t="inlineStr">
        <is>
          <t>日</t>
        </is>
      </c>
      <c r="DP4" s="7" t="inlineStr">
        <is>
          <t>月</t>
        </is>
      </c>
      <c r="DQ4" s="7" t="inlineStr">
        <is>
          <t>火</t>
        </is>
      </c>
      <c r="DR4" s="7" t="inlineStr">
        <is>
          <t>水</t>
        </is>
      </c>
      <c r="DS4" s="7" t="inlineStr">
        <is>
          <t>木</t>
        </is>
      </c>
      <c r="DT4" s="7" t="inlineStr">
        <is>
          <t>金</t>
        </is>
      </c>
      <c r="DU4" s="8" t="inlineStr">
        <is>
          <t>土</t>
        </is>
      </c>
      <c r="DV4" s="9" t="inlineStr">
        <is>
          <t>日</t>
        </is>
      </c>
      <c r="DW4" s="7" t="inlineStr">
        <is>
          <t>月</t>
        </is>
      </c>
      <c r="DX4" s="7" t="inlineStr">
        <is>
          <t>火</t>
        </is>
      </c>
      <c r="DY4" s="7" t="inlineStr">
        <is>
          <t>水</t>
        </is>
      </c>
      <c r="DZ4" s="7" t="inlineStr">
        <is>
          <t>木</t>
        </is>
      </c>
      <c r="EA4" s="7" t="inlineStr">
        <is>
          <t>金</t>
        </is>
      </c>
      <c r="EB4" s="8" t="inlineStr">
        <is>
          <t>土</t>
        </is>
      </c>
      <c r="EC4" s="9" t="inlineStr">
        <is>
          <t>日</t>
        </is>
      </c>
      <c r="ED4" s="7" t="inlineStr">
        <is>
          <t>月</t>
        </is>
      </c>
      <c r="EE4" s="7" t="inlineStr">
        <is>
          <t>火</t>
        </is>
      </c>
      <c r="EF4" s="7" t="inlineStr">
        <is>
          <t>水</t>
        </is>
      </c>
      <c r="EG4" s="7" t="inlineStr">
        <is>
          <t>木</t>
        </is>
      </c>
      <c r="EH4" s="7" t="inlineStr">
        <is>
          <t>金</t>
        </is>
      </c>
      <c r="EI4" s="8" t="inlineStr">
        <is>
          <t>土</t>
        </is>
      </c>
      <c r="EJ4" s="9" t="inlineStr">
        <is>
          <t>日</t>
        </is>
      </c>
    </row>
    <row r="5" ht="19" customHeight="1">
      <c r="A5" s="10" t="inlineStr">
        <is>
          <t>本分析</t>
        </is>
      </c>
      <c r="B5" s="11" t="n"/>
      <c r="C5" s="12" t="n"/>
      <c r="D5" s="12" t="n"/>
      <c r="E5" s="11" t="n"/>
      <c r="F5" s="13" t="n"/>
      <c r="G5" s="11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  <c r="BP5" s="14" t="n"/>
      <c r="BQ5" s="14" t="n"/>
      <c r="BR5" s="14" t="n"/>
      <c r="BS5" s="14" t="n"/>
      <c r="BT5" s="14" t="n"/>
      <c r="BU5" s="14" t="n"/>
      <c r="BV5" s="14" t="n"/>
      <c r="BW5" s="14" t="n"/>
      <c r="BX5" s="14" t="n"/>
      <c r="BY5" s="14" t="n"/>
      <c r="BZ5" s="14" t="n"/>
      <c r="CA5" s="14" t="n"/>
      <c r="CB5" s="14" t="n"/>
      <c r="CC5" s="14" t="n"/>
      <c r="CD5" s="14" t="n"/>
      <c r="CE5" s="14" t="n"/>
      <c r="CF5" s="14" t="n"/>
      <c r="CG5" s="14" t="n"/>
      <c r="CH5" s="14" t="n"/>
      <c r="CI5" s="14" t="n"/>
      <c r="CJ5" s="14" t="n"/>
      <c r="CK5" s="14" t="n"/>
      <c r="CL5" s="14" t="n"/>
      <c r="CM5" s="14" t="n"/>
      <c r="CN5" s="14" t="n"/>
      <c r="CO5" s="14" t="n"/>
      <c r="CP5" s="14" t="n"/>
      <c r="CQ5" s="14" t="n"/>
      <c r="CR5" s="14" t="n"/>
      <c r="CS5" s="14" t="n"/>
      <c r="CT5" s="14" t="n"/>
      <c r="CU5" s="14" t="n"/>
      <c r="CV5" s="14" t="n"/>
      <c r="CW5" s="14" t="n"/>
      <c r="CX5" s="14" t="n"/>
      <c r="CY5" s="14" t="n"/>
      <c r="CZ5" s="14" t="n"/>
      <c r="DA5" s="14" t="n"/>
      <c r="DB5" s="14" t="n"/>
      <c r="DC5" s="14" t="n"/>
      <c r="DD5" s="14" t="n"/>
      <c r="DE5" s="14" t="n"/>
      <c r="DF5" s="14" t="n"/>
      <c r="DG5" s="14" t="n"/>
      <c r="DH5" s="14" t="n"/>
      <c r="DI5" s="14" t="n"/>
      <c r="DJ5" s="14" t="n"/>
      <c r="DK5" s="14" t="n"/>
      <c r="DL5" s="14" t="n"/>
      <c r="DM5" s="14" t="n"/>
      <c r="DN5" s="14" t="n"/>
      <c r="DO5" s="14" t="n"/>
      <c r="DP5" s="14" t="n"/>
      <c r="DQ5" s="14" t="n"/>
      <c r="DR5" s="14" t="n"/>
      <c r="DS5" s="14" t="n"/>
      <c r="DT5" s="14" t="n"/>
      <c r="DU5" s="14" t="n"/>
      <c r="DV5" s="14" t="n"/>
      <c r="DW5" s="14" t="n"/>
      <c r="DX5" s="14" t="n"/>
      <c r="DY5" s="14" t="n"/>
      <c r="DZ5" s="14" t="n"/>
      <c r="EA5" s="14" t="n"/>
      <c r="EB5" s="14" t="n"/>
      <c r="EC5" s="14" t="n"/>
      <c r="ED5" s="14" t="n"/>
      <c r="EE5" s="14" t="n"/>
      <c r="EF5" s="14" t="n"/>
      <c r="EG5" s="14" t="n"/>
      <c r="EH5" s="14" t="n"/>
      <c r="EI5" s="14" t="n"/>
      <c r="EJ5" s="14" t="n"/>
    </row>
    <row r="6" ht="19" customHeight="1">
      <c r="A6" s="15" t="inlineStr">
        <is>
          <t>1. お互いに残論点について詰める ＆ 教授陣に確認してもらう</t>
        </is>
      </c>
      <c r="B6" s="16" t="inlineStr">
        <is>
          <t>鈴木・西村</t>
        </is>
      </c>
      <c r="C6" s="17" t="n">
        <v>46241</v>
      </c>
      <c r="D6" s="17" t="n">
        <v>46244</v>
      </c>
      <c r="E6" s="16">
        <f>IF(OR($C6="",$D6=""),"",$D6-$C6+1)</f>
        <v/>
      </c>
      <c r="F6" s="18" t="inlineStr">
        <is>
          <t>未着手</t>
        </is>
      </c>
      <c r="G6" s="19">
        <f>IFERROR(VLOOKUP($F6,'使い方と進捗の定義'!$A$12:$B$16,2,FALSE),0)</f>
        <v/>
      </c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20" t="n"/>
      <c r="DO6" s="20" t="n"/>
      <c r="DP6" s="20" t="n"/>
      <c r="DQ6" s="20" t="n"/>
      <c r="DR6" s="20" t="n"/>
      <c r="DS6" s="20" t="n"/>
      <c r="DT6" s="20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</row>
    <row r="7" ht="19" customHeight="1">
      <c r="A7" s="21" t="inlineStr">
        <is>
          <t>1-1. 【追加タスク】ガントチャート作成</t>
        </is>
      </c>
      <c r="B7" s="16" t="inlineStr">
        <is>
          <t>鈴木</t>
        </is>
      </c>
      <c r="C7" s="17" t="n">
        <v>46241</v>
      </c>
      <c r="D7" s="17" t="n">
        <v>46244</v>
      </c>
      <c r="E7" s="16">
        <f>IF(OR($C7="",$D7=""),"",$D7-$C7+1)</f>
        <v/>
      </c>
      <c r="F7" s="18" t="inlineStr">
        <is>
          <t>未着手</t>
        </is>
      </c>
      <c r="G7" s="19">
        <f>IFERROR(VLOOKUP($F7,'使い方と進捗の定義'!$A$12:$B$16,2,FALSE),0)</f>
        <v/>
      </c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0" t="n"/>
      <c r="CP7" s="20" t="n"/>
      <c r="CQ7" s="20" t="n"/>
      <c r="CR7" s="20" t="n"/>
      <c r="CS7" s="20" t="n"/>
      <c r="CT7" s="20" t="n"/>
      <c r="CU7" s="20" t="n"/>
      <c r="CV7" s="20" t="n"/>
      <c r="CW7" s="20" t="n"/>
      <c r="CX7" s="20" t="n"/>
      <c r="CY7" s="20" t="n"/>
      <c r="CZ7" s="20" t="n"/>
      <c r="DA7" s="20" t="n"/>
      <c r="DB7" s="20" t="n"/>
      <c r="DC7" s="20" t="n"/>
      <c r="DD7" s="20" t="n"/>
      <c r="DE7" s="20" t="n"/>
      <c r="DF7" s="20" t="n"/>
      <c r="DG7" s="20" t="n"/>
      <c r="DH7" s="20" t="n"/>
      <c r="DI7" s="20" t="n"/>
      <c r="DJ7" s="20" t="n"/>
      <c r="DK7" s="20" t="n"/>
      <c r="DL7" s="20" t="n"/>
      <c r="DM7" s="20" t="n"/>
      <c r="DN7" s="20" t="n"/>
      <c r="DO7" s="20" t="n"/>
      <c r="DP7" s="20" t="n"/>
      <c r="DQ7" s="20" t="n"/>
      <c r="DR7" s="20" t="n"/>
      <c r="DS7" s="20" t="n"/>
      <c r="DT7" s="20" t="n"/>
      <c r="DU7" s="20" t="n"/>
      <c r="DV7" s="20" t="n"/>
      <c r="DW7" s="20" t="n"/>
      <c r="DX7" s="20" t="n"/>
      <c r="DY7" s="20" t="n"/>
      <c r="DZ7" s="20" t="n"/>
      <c r="EA7" s="20" t="n"/>
      <c r="EB7" s="20" t="n"/>
      <c r="EC7" s="20" t="n"/>
      <c r="ED7" s="20" t="n"/>
      <c r="EE7" s="20" t="n"/>
      <c r="EF7" s="20" t="n"/>
      <c r="EG7" s="20" t="n"/>
      <c r="EH7" s="20" t="n"/>
      <c r="EI7" s="20" t="n"/>
      <c r="EJ7" s="20" t="n"/>
    </row>
    <row r="8" ht="19" customHeight="1">
      <c r="A8" s="21" t="inlineStr">
        <is>
          <t>1-2. 【追加タスク】竹本様に連絡</t>
        </is>
      </c>
      <c r="B8" s="16" t="inlineStr">
        <is>
          <t>未定</t>
        </is>
      </c>
      <c r="C8" s="17" t="n">
        <v>46241</v>
      </c>
      <c r="D8" s="17" t="n">
        <v>46244</v>
      </c>
      <c r="E8" s="16">
        <f>IF(OR($C8="",$D8=""),"",$D8-$C8+1)</f>
        <v/>
      </c>
      <c r="F8" s="18" t="inlineStr">
        <is>
          <t>未着手</t>
        </is>
      </c>
      <c r="G8" s="19">
        <f>IFERROR(VLOOKUP($F8,'使い方と進捗の定義'!$A$12:$B$16,2,FALSE),0)</f>
        <v/>
      </c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0" t="n"/>
      <c r="CP8" s="20" t="n"/>
      <c r="CQ8" s="20" t="n"/>
      <c r="CR8" s="20" t="n"/>
      <c r="CS8" s="20" t="n"/>
      <c r="CT8" s="20" t="n"/>
      <c r="CU8" s="20" t="n"/>
      <c r="CV8" s="20" t="n"/>
      <c r="CW8" s="20" t="n"/>
      <c r="CX8" s="20" t="n"/>
      <c r="CY8" s="20" t="n"/>
      <c r="CZ8" s="20" t="n"/>
      <c r="DA8" s="20" t="n"/>
      <c r="DB8" s="20" t="n"/>
      <c r="DC8" s="20" t="n"/>
      <c r="DD8" s="20" t="n"/>
      <c r="DE8" s="20" t="n"/>
      <c r="DF8" s="20" t="n"/>
      <c r="DG8" s="20" t="n"/>
      <c r="DH8" s="20" t="n"/>
      <c r="DI8" s="20" t="n"/>
      <c r="DJ8" s="20" t="n"/>
      <c r="DK8" s="20" t="n"/>
      <c r="DL8" s="20" t="n"/>
      <c r="DM8" s="20" t="n"/>
      <c r="DN8" s="20" t="n"/>
      <c r="DO8" s="20" t="n"/>
      <c r="DP8" s="20" t="n"/>
      <c r="DQ8" s="20" t="n"/>
      <c r="DR8" s="20" t="n"/>
      <c r="DS8" s="20" t="n"/>
      <c r="DT8" s="20" t="n"/>
      <c r="DU8" s="20" t="n"/>
      <c r="DV8" s="20" t="n"/>
      <c r="DW8" s="20" t="n"/>
      <c r="DX8" s="20" t="n"/>
      <c r="DY8" s="20" t="n"/>
      <c r="DZ8" s="20" t="n"/>
      <c r="EA8" s="20" t="n"/>
      <c r="EB8" s="20" t="n"/>
      <c r="EC8" s="20" t="n"/>
      <c r="ED8" s="20" t="n"/>
      <c r="EE8" s="20" t="n"/>
      <c r="EF8" s="20" t="n"/>
      <c r="EG8" s="20" t="n"/>
      <c r="EH8" s="20" t="n"/>
      <c r="EI8" s="20" t="n"/>
      <c r="EJ8" s="20" t="n"/>
    </row>
    <row r="9" ht="19" customHeight="1">
      <c r="A9" s="15" t="inlineStr">
        <is>
          <t>2. 共有（22:00〜）</t>
        </is>
      </c>
      <c r="B9" s="16" t="inlineStr">
        <is>
          <t>鈴木・西村</t>
        </is>
      </c>
      <c r="C9" s="17" t="n">
        <v>46244</v>
      </c>
      <c r="D9" s="17" t="n">
        <v>46244</v>
      </c>
      <c r="E9" s="16">
        <f>IF(OR($C9="",$D9=""),"",$D9-$C9+1)</f>
        <v/>
      </c>
      <c r="F9" s="18" t="inlineStr">
        <is>
          <t>未着手</t>
        </is>
      </c>
      <c r="G9" s="19">
        <f>IFERROR(VLOOKUP($F9,'使い方と進捗の定義'!$A$12:$B$16,2,FALSE),0)</f>
        <v/>
      </c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</row>
    <row r="10" ht="19" customHeight="1">
      <c r="A10" s="15" t="inlineStr">
        <is>
          <t>3. パーソルキャリアの企画職・DSの方に見てもらう</t>
        </is>
      </c>
      <c r="B10" s="16" t="inlineStr">
        <is>
          <t>未定</t>
        </is>
      </c>
      <c r="C10" s="17" t="n">
        <v>46253</v>
      </c>
      <c r="D10" s="17" t="n">
        <v>46269</v>
      </c>
      <c r="E10" s="16">
        <f>IF(OR($C10="",$D10=""),"",$D10-$C10+1)</f>
        <v/>
      </c>
      <c r="F10" s="18" t="inlineStr">
        <is>
          <t>未着手</t>
        </is>
      </c>
      <c r="G10" s="19">
        <f>IFERROR(VLOOKUP($F10,'使い方と進捗の定義'!$A$12:$B$16,2,FALSE),0)</f>
        <v/>
      </c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A10" s="20" t="n"/>
      <c r="EB10" s="20" t="n"/>
      <c r="EC10" s="20" t="n"/>
      <c r="ED10" s="20" t="n"/>
      <c r="EE10" s="20" t="n"/>
      <c r="EF10" s="20" t="n"/>
      <c r="EG10" s="20" t="n"/>
      <c r="EH10" s="20" t="n"/>
      <c r="EI10" s="20" t="n"/>
      <c r="EJ10" s="20" t="n"/>
    </row>
    <row r="11" ht="19" customHeight="1">
      <c r="A11" s="15" t="inlineStr">
        <is>
          <t>4. 議論</t>
        </is>
      </c>
      <c r="B11" s="16" t="inlineStr">
        <is>
          <t>未定</t>
        </is>
      </c>
      <c r="C11" s="17" t="n"/>
      <c r="D11" s="17" t="n"/>
      <c r="E11" s="16">
        <f>IF(OR($C11="",$D11=""),"",$D11-$C11+1)</f>
        <v/>
      </c>
      <c r="F11" s="18" t="inlineStr">
        <is>
          <t>未着手</t>
        </is>
      </c>
      <c r="G11" s="19">
        <f>IFERROR(VLOOKUP($F11,'使い方と進捗の定義'!$A$12:$B$16,2,FALSE),0)</f>
        <v/>
      </c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0" t="n"/>
      <c r="CP11" s="20" t="n"/>
      <c r="CQ11" s="20" t="n"/>
      <c r="CR11" s="20" t="n"/>
      <c r="CS11" s="20" t="n"/>
      <c r="CT11" s="20" t="n"/>
      <c r="CU11" s="20" t="n"/>
      <c r="CV11" s="20" t="n"/>
      <c r="CW11" s="20" t="n"/>
      <c r="CX11" s="20" t="n"/>
      <c r="CY11" s="20" t="n"/>
      <c r="CZ11" s="20" t="n"/>
      <c r="DA11" s="20" t="n"/>
      <c r="DB11" s="20" t="n"/>
      <c r="DC11" s="20" t="n"/>
      <c r="DD11" s="20" t="n"/>
      <c r="DE11" s="20" t="n"/>
      <c r="DF11" s="20" t="n"/>
      <c r="DG11" s="20" t="n"/>
      <c r="DH11" s="20" t="n"/>
      <c r="DI11" s="20" t="n"/>
      <c r="DJ11" s="20" t="n"/>
      <c r="DK11" s="20" t="n"/>
      <c r="DL11" s="20" t="n"/>
      <c r="DM11" s="20" t="n"/>
      <c r="DN11" s="20" t="n"/>
      <c r="DO11" s="20" t="n"/>
      <c r="DP11" s="20" t="n"/>
      <c r="DQ11" s="20" t="n"/>
      <c r="DR11" s="20" t="n"/>
      <c r="DS11" s="20" t="n"/>
      <c r="DT11" s="20" t="n"/>
      <c r="DU11" s="20" t="n"/>
      <c r="DV11" s="20" t="n"/>
      <c r="DW11" s="20" t="n"/>
      <c r="DX11" s="20" t="n"/>
      <c r="DY11" s="20" t="n"/>
      <c r="DZ11" s="20" t="n"/>
      <c r="EA11" s="20" t="n"/>
      <c r="EB11" s="20" t="n"/>
      <c r="EC11" s="20" t="n"/>
      <c r="ED11" s="20" t="n"/>
      <c r="EE11" s="20" t="n"/>
      <c r="EF11" s="20" t="n"/>
      <c r="EG11" s="20" t="n"/>
      <c r="EH11" s="20" t="n"/>
      <c r="EI11" s="20" t="n"/>
      <c r="EJ11" s="20" t="n"/>
    </row>
    <row r="12" ht="19" customHeight="1">
      <c r="A12" s="15" t="inlineStr">
        <is>
          <t>5. 6. データ格納 ＆ 実行</t>
        </is>
      </c>
      <c r="B12" s="16" t="inlineStr">
        <is>
          <t>未定</t>
        </is>
      </c>
      <c r="C12" s="17" t="n">
        <v>46257</v>
      </c>
      <c r="D12" s="17" t="n">
        <v>46271</v>
      </c>
      <c r="E12" s="16">
        <f>IF(OR($C12="",$D12=""),"",$D12-$C12+1)</f>
        <v/>
      </c>
      <c r="F12" s="18" t="inlineStr">
        <is>
          <t>未着手</t>
        </is>
      </c>
      <c r="G12" s="19">
        <f>IFERROR(VLOOKUP($F12,'使い方と進捗の定義'!$A$12:$B$16,2,FALSE),0)</f>
        <v/>
      </c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20" t="n"/>
      <c r="BE12" s="20" t="n"/>
      <c r="BF12" s="20" t="n"/>
      <c r="BG12" s="20" t="n"/>
      <c r="BH12" s="20" t="n"/>
      <c r="BI12" s="20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20" t="n"/>
      <c r="BZ12" s="20" t="n"/>
      <c r="CA12" s="20" t="n"/>
      <c r="CB12" s="20" t="n"/>
      <c r="CC12" s="20" t="n"/>
      <c r="CD12" s="20" t="n"/>
      <c r="CE12" s="20" t="n"/>
      <c r="CF12" s="20" t="n"/>
      <c r="CG12" s="20" t="n"/>
      <c r="CH12" s="20" t="n"/>
      <c r="CI12" s="20" t="n"/>
      <c r="CJ12" s="20" t="n"/>
      <c r="CK12" s="20" t="n"/>
      <c r="CL12" s="20" t="n"/>
      <c r="CM12" s="20" t="n"/>
      <c r="CN12" s="20" t="n"/>
      <c r="CO12" s="20" t="n"/>
      <c r="CP12" s="20" t="n"/>
      <c r="CQ12" s="20" t="n"/>
      <c r="CR12" s="20" t="n"/>
      <c r="CS12" s="20" t="n"/>
      <c r="CT12" s="20" t="n"/>
      <c r="CU12" s="20" t="n"/>
      <c r="CV12" s="20" t="n"/>
      <c r="CW12" s="20" t="n"/>
      <c r="CX12" s="20" t="n"/>
      <c r="CY12" s="20" t="n"/>
      <c r="CZ12" s="20" t="n"/>
      <c r="DA12" s="20" t="n"/>
      <c r="DB12" s="20" t="n"/>
      <c r="DC12" s="20" t="n"/>
      <c r="DD12" s="20" t="n"/>
      <c r="DE12" s="20" t="n"/>
      <c r="DF12" s="20" t="n"/>
      <c r="DG12" s="20" t="n"/>
      <c r="DH12" s="20" t="n"/>
      <c r="DI12" s="20" t="n"/>
      <c r="DJ12" s="20" t="n"/>
      <c r="DK12" s="20" t="n"/>
      <c r="DL12" s="20" t="n"/>
      <c r="DM12" s="20" t="n"/>
      <c r="DN12" s="20" t="n"/>
      <c r="DO12" s="20" t="n"/>
      <c r="DP12" s="20" t="n"/>
      <c r="DQ12" s="20" t="n"/>
      <c r="DR12" s="20" t="n"/>
      <c r="DS12" s="20" t="n"/>
      <c r="DT12" s="20" t="n"/>
      <c r="DU12" s="20" t="n"/>
      <c r="DV12" s="20" t="n"/>
      <c r="DW12" s="20" t="n"/>
      <c r="DX12" s="20" t="n"/>
      <c r="DY12" s="20" t="n"/>
      <c r="DZ12" s="20" t="n"/>
      <c r="EA12" s="20" t="n"/>
      <c r="EB12" s="20" t="n"/>
      <c r="EC12" s="20" t="n"/>
      <c r="ED12" s="20" t="n"/>
      <c r="EE12" s="20" t="n"/>
      <c r="EF12" s="20" t="n"/>
      <c r="EG12" s="20" t="n"/>
      <c r="EH12" s="20" t="n"/>
      <c r="EI12" s="20" t="n"/>
      <c r="EJ12" s="20" t="n"/>
    </row>
    <row r="13" ht="19" customHeight="1">
      <c r="A13" s="21" t="inlineStr">
        <is>
          <t>5-1. リポジトリ格納：和歌山県 Q1 主観WB（幸福度／満足度）</t>
        </is>
      </c>
      <c r="B13" s="16" t="inlineStr">
        <is>
          <t>未定</t>
        </is>
      </c>
      <c r="C13" s="17" t="n">
        <v>46257</v>
      </c>
      <c r="D13" s="17" t="n">
        <v>46271</v>
      </c>
      <c r="E13" s="16">
        <f>IF(OR($C13="",$D13=""),"",$D13-$C13+1)</f>
        <v/>
      </c>
      <c r="F13" s="18" t="inlineStr">
        <is>
          <t>未着手</t>
        </is>
      </c>
      <c r="G13" s="19">
        <f>IFERROR(VLOOKUP($F13,'使い方と進捗の定義'!$A$12:$B$16,2,FALSE),0)</f>
        <v/>
      </c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0" t="n"/>
      <c r="CP13" s="20" t="n"/>
      <c r="CQ13" s="20" t="n"/>
      <c r="CR13" s="20" t="n"/>
      <c r="CS13" s="20" t="n"/>
      <c r="CT13" s="20" t="n"/>
      <c r="CU13" s="20" t="n"/>
      <c r="CV13" s="20" t="n"/>
      <c r="CW13" s="20" t="n"/>
      <c r="CX13" s="20" t="n"/>
      <c r="CY13" s="20" t="n"/>
      <c r="CZ13" s="20" t="n"/>
      <c r="DA13" s="20" t="n"/>
      <c r="DB13" s="20" t="n"/>
      <c r="DC13" s="20" t="n"/>
      <c r="DD13" s="20" t="n"/>
      <c r="DE13" s="20" t="n"/>
      <c r="DF13" s="20" t="n"/>
      <c r="DG13" s="20" t="n"/>
      <c r="DH13" s="20" t="n"/>
      <c r="DI13" s="20" t="n"/>
      <c r="DJ13" s="20" t="n"/>
      <c r="DK13" s="20" t="n"/>
      <c r="DL13" s="20" t="n"/>
      <c r="DM13" s="20" t="n"/>
      <c r="DN13" s="20" t="n"/>
      <c r="DO13" s="20" t="n"/>
      <c r="DP13" s="20" t="n"/>
      <c r="DQ13" s="20" t="n"/>
      <c r="DR13" s="20" t="n"/>
      <c r="DS13" s="20" t="n"/>
      <c r="DT13" s="20" t="n"/>
      <c r="DU13" s="20" t="n"/>
      <c r="DV13" s="20" t="n"/>
      <c r="DW13" s="20" t="n"/>
      <c r="DX13" s="20" t="n"/>
      <c r="DY13" s="20" t="n"/>
      <c r="DZ13" s="20" t="n"/>
      <c r="EA13" s="20" t="n"/>
      <c r="EB13" s="20" t="n"/>
      <c r="EC13" s="20" t="n"/>
      <c r="ED13" s="20" t="n"/>
      <c r="EE13" s="20" t="n"/>
      <c r="EF13" s="20" t="n"/>
      <c r="EG13" s="20" t="n"/>
      <c r="EH13" s="20" t="n"/>
      <c r="EI13" s="20" t="n"/>
      <c r="EJ13" s="20" t="n"/>
    </row>
    <row r="14" ht="19" customHeight="1">
      <c r="A14" s="21" t="inlineStr">
        <is>
          <t>5-2. リポジトリ格納：和歌山県 主観WB 各カテゴリ</t>
        </is>
      </c>
      <c r="B14" s="16" t="inlineStr">
        <is>
          <t>未定</t>
        </is>
      </c>
      <c r="C14" s="17" t="n">
        <v>46257</v>
      </c>
      <c r="D14" s="17" t="n">
        <v>46271</v>
      </c>
      <c r="E14" s="16">
        <f>IF(OR($C14="",$D14=""),"",$D14-$C14+1)</f>
        <v/>
      </c>
      <c r="F14" s="18" t="inlineStr">
        <is>
          <t>未着手</t>
        </is>
      </c>
      <c r="G14" s="19">
        <f>IFERROR(VLOOKUP($F14,'使い方と進捗の定義'!$A$12:$B$16,2,FALSE),0)</f>
        <v/>
      </c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  <c r="CE14" s="20" t="n"/>
      <c r="CF14" s="20" t="n"/>
      <c r="CG14" s="20" t="n"/>
      <c r="CH14" s="20" t="n"/>
      <c r="CI14" s="20" t="n"/>
      <c r="CJ14" s="20" t="n"/>
      <c r="CK14" s="20" t="n"/>
      <c r="CL14" s="20" t="n"/>
      <c r="CM14" s="20" t="n"/>
      <c r="CN14" s="20" t="n"/>
      <c r="CO14" s="20" t="n"/>
      <c r="CP14" s="20" t="n"/>
      <c r="CQ14" s="20" t="n"/>
      <c r="CR14" s="20" t="n"/>
      <c r="CS14" s="20" t="n"/>
      <c r="CT14" s="20" t="n"/>
      <c r="CU14" s="20" t="n"/>
      <c r="CV14" s="20" t="n"/>
      <c r="CW14" s="20" t="n"/>
      <c r="CX14" s="20" t="n"/>
      <c r="CY14" s="20" t="n"/>
      <c r="CZ14" s="20" t="n"/>
      <c r="DA14" s="20" t="n"/>
      <c r="DB14" s="20" t="n"/>
      <c r="DC14" s="20" t="n"/>
      <c r="DD14" s="20" t="n"/>
      <c r="DE14" s="20" t="n"/>
      <c r="DF14" s="20" t="n"/>
      <c r="DG14" s="20" t="n"/>
      <c r="DH14" s="20" t="n"/>
      <c r="DI14" s="20" t="n"/>
      <c r="DJ14" s="20" t="n"/>
      <c r="DK14" s="20" t="n"/>
      <c r="DL14" s="20" t="n"/>
      <c r="DM14" s="20" t="n"/>
      <c r="DN14" s="20" t="n"/>
      <c r="DO14" s="20" t="n"/>
      <c r="DP14" s="20" t="n"/>
      <c r="DQ14" s="20" t="n"/>
      <c r="DR14" s="20" t="n"/>
      <c r="DS14" s="20" t="n"/>
      <c r="DT14" s="20" t="n"/>
      <c r="DU14" s="20" t="n"/>
      <c r="DV14" s="20" t="n"/>
      <c r="DW14" s="20" t="n"/>
      <c r="DX14" s="20" t="n"/>
      <c r="DY14" s="20" t="n"/>
      <c r="DZ14" s="20" t="n"/>
      <c r="EA14" s="20" t="n"/>
      <c r="EB14" s="20" t="n"/>
      <c r="EC14" s="20" t="n"/>
      <c r="ED14" s="20" t="n"/>
      <c r="EE14" s="20" t="n"/>
      <c r="EF14" s="20" t="n"/>
      <c r="EG14" s="20" t="n"/>
      <c r="EH14" s="20" t="n"/>
      <c r="EI14" s="20" t="n"/>
      <c r="EJ14" s="20" t="n"/>
    </row>
    <row r="15" ht="19" customHeight="1">
      <c r="A15" s="21" t="inlineStr">
        <is>
          <t>5-3. リポジトリ格納：他県の主観／客観WB（時と場合による）</t>
        </is>
      </c>
      <c r="B15" s="16" t="inlineStr">
        <is>
          <t>未定</t>
        </is>
      </c>
      <c r="C15" s="17" t="n">
        <v>46257</v>
      </c>
      <c r="D15" s="17" t="n">
        <v>46271</v>
      </c>
      <c r="E15" s="16">
        <f>IF(OR($C15="",$D15=""),"",$D15-$C15+1)</f>
        <v/>
      </c>
      <c r="F15" s="18" t="inlineStr">
        <is>
          <t>未着手</t>
        </is>
      </c>
      <c r="G15" s="19">
        <f>IFERROR(VLOOKUP($F15,'使い方と進捗の定義'!$A$12:$B$16,2,FALSE),0)</f>
        <v/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20" t="n"/>
      <c r="BZ15" s="20" t="n"/>
      <c r="CA15" s="20" t="n"/>
      <c r="CB15" s="20" t="n"/>
      <c r="CC15" s="20" t="n"/>
      <c r="CD15" s="20" t="n"/>
      <c r="CE15" s="20" t="n"/>
      <c r="CF15" s="20" t="n"/>
      <c r="CG15" s="20" t="n"/>
      <c r="CH15" s="20" t="n"/>
      <c r="CI15" s="20" t="n"/>
      <c r="CJ15" s="20" t="n"/>
      <c r="CK15" s="20" t="n"/>
      <c r="CL15" s="20" t="n"/>
      <c r="CM15" s="20" t="n"/>
      <c r="CN15" s="20" t="n"/>
      <c r="CO15" s="20" t="n"/>
      <c r="CP15" s="20" t="n"/>
      <c r="CQ15" s="20" t="n"/>
      <c r="CR15" s="20" t="n"/>
      <c r="CS15" s="20" t="n"/>
      <c r="CT15" s="20" t="n"/>
      <c r="CU15" s="20" t="n"/>
      <c r="CV15" s="20" t="n"/>
      <c r="CW15" s="20" t="n"/>
      <c r="CX15" s="20" t="n"/>
      <c r="CY15" s="20" t="n"/>
      <c r="CZ15" s="20" t="n"/>
      <c r="DA15" s="20" t="n"/>
      <c r="DB15" s="20" t="n"/>
      <c r="DC15" s="20" t="n"/>
      <c r="DD15" s="20" t="n"/>
      <c r="DE15" s="20" t="n"/>
      <c r="DF15" s="20" t="n"/>
      <c r="DG15" s="20" t="n"/>
      <c r="DH15" s="20" t="n"/>
      <c r="DI15" s="20" t="n"/>
      <c r="DJ15" s="20" t="n"/>
      <c r="DK15" s="20" t="n"/>
      <c r="DL15" s="20" t="n"/>
      <c r="DM15" s="20" t="n"/>
      <c r="DN15" s="20" t="n"/>
      <c r="DO15" s="20" t="n"/>
      <c r="DP15" s="20" t="n"/>
      <c r="DQ15" s="20" t="n"/>
      <c r="DR15" s="20" t="n"/>
      <c r="DS15" s="20" t="n"/>
      <c r="DT15" s="20" t="n"/>
      <c r="DU15" s="20" t="n"/>
      <c r="DV15" s="20" t="n"/>
      <c r="DW15" s="20" t="n"/>
      <c r="DX15" s="20" t="n"/>
      <c r="DY15" s="20" t="n"/>
      <c r="DZ15" s="20" t="n"/>
      <c r="EA15" s="20" t="n"/>
      <c r="EB15" s="20" t="n"/>
      <c r="EC15" s="20" t="n"/>
      <c r="ED15" s="20" t="n"/>
      <c r="EE15" s="20" t="n"/>
      <c r="EF15" s="20" t="n"/>
      <c r="EG15" s="20" t="n"/>
      <c r="EH15" s="20" t="n"/>
      <c r="EI15" s="20" t="n"/>
      <c r="EJ15" s="20" t="n"/>
    </row>
    <row r="16" ht="19" customHeight="1">
      <c r="A16" s="15" t="inlineStr">
        <is>
          <t>7. パワーポイントの作成 ＆ 応募用紙作成</t>
        </is>
      </c>
      <c r="B16" s="16" t="inlineStr">
        <is>
          <t>未定</t>
        </is>
      </c>
      <c r="C16" s="17" t="n">
        <v>46272</v>
      </c>
      <c r="D16" s="17" t="n">
        <v>46281</v>
      </c>
      <c r="E16" s="16">
        <f>IF(OR($C16="",$D16=""),"",$D16-$C16+1)</f>
        <v/>
      </c>
      <c r="F16" s="18" t="inlineStr">
        <is>
          <t>未着手</t>
        </is>
      </c>
      <c r="G16" s="19">
        <f>IFERROR(VLOOKUP($F16,'使い方と進捗の定義'!$A$12:$B$16,2,FALSE),0)</f>
        <v/>
      </c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  <c r="CE16" s="20" t="n"/>
      <c r="CF16" s="20" t="n"/>
      <c r="CG16" s="20" t="n"/>
      <c r="CH16" s="20" t="n"/>
      <c r="CI16" s="20" t="n"/>
      <c r="CJ16" s="20" t="n"/>
      <c r="CK16" s="20" t="n"/>
      <c r="CL16" s="20" t="n"/>
      <c r="CM16" s="20" t="n"/>
      <c r="CN16" s="20" t="n"/>
      <c r="CO16" s="20" t="n"/>
      <c r="CP16" s="20" t="n"/>
      <c r="CQ16" s="20" t="n"/>
      <c r="CR16" s="20" t="n"/>
      <c r="CS16" s="20" t="n"/>
      <c r="CT16" s="20" t="n"/>
      <c r="CU16" s="20" t="n"/>
      <c r="CV16" s="20" t="n"/>
      <c r="CW16" s="20" t="n"/>
      <c r="CX16" s="20" t="n"/>
      <c r="CY16" s="20" t="n"/>
      <c r="CZ16" s="20" t="n"/>
      <c r="DA16" s="20" t="n"/>
      <c r="DB16" s="20" t="n"/>
      <c r="DC16" s="20" t="n"/>
      <c r="DD16" s="20" t="n"/>
      <c r="DE16" s="20" t="n"/>
      <c r="DF16" s="20" t="n"/>
      <c r="DG16" s="20" t="n"/>
      <c r="DH16" s="20" t="n"/>
      <c r="DI16" s="20" t="n"/>
      <c r="DJ16" s="20" t="n"/>
      <c r="DK16" s="20" t="n"/>
      <c r="DL16" s="20" t="n"/>
      <c r="DM16" s="20" t="n"/>
      <c r="DN16" s="20" t="n"/>
      <c r="DO16" s="20" t="n"/>
      <c r="DP16" s="20" t="n"/>
      <c r="DQ16" s="20" t="n"/>
      <c r="DR16" s="20" t="n"/>
      <c r="DS16" s="20" t="n"/>
      <c r="DT16" s="20" t="n"/>
      <c r="DU16" s="20" t="n"/>
      <c r="DV16" s="20" t="n"/>
      <c r="DW16" s="20" t="n"/>
      <c r="DX16" s="20" t="n"/>
      <c r="DY16" s="20" t="n"/>
      <c r="DZ16" s="20" t="n"/>
      <c r="EA16" s="20" t="n"/>
      <c r="EB16" s="20" t="n"/>
      <c r="EC16" s="20" t="n"/>
      <c r="ED16" s="20" t="n"/>
      <c r="EE16" s="20" t="n"/>
      <c r="EF16" s="20" t="n"/>
      <c r="EG16" s="20" t="n"/>
      <c r="EH16" s="20" t="n"/>
      <c r="EI16" s="20" t="n"/>
      <c r="EJ16" s="20" t="n"/>
    </row>
    <row r="17" ht="19" customHeight="1">
      <c r="A17" s="15" t="inlineStr">
        <is>
          <t>8. 練習 ＆ 各個人で他者に見てもらう</t>
        </is>
      </c>
      <c r="B17" s="16" t="inlineStr">
        <is>
          <t>未定</t>
        </is>
      </c>
      <c r="C17" s="17" t="n">
        <v>46282</v>
      </c>
      <c r="D17" s="17" t="n">
        <v>46292</v>
      </c>
      <c r="E17" s="16">
        <f>IF(OR($C17="",$D17=""),"",$D17-$C17+1)</f>
        <v/>
      </c>
      <c r="F17" s="18" t="inlineStr">
        <is>
          <t>未着手</t>
        </is>
      </c>
      <c r="G17" s="19">
        <f>IFERROR(VLOOKUP($F17,'使い方と進捗の定義'!$A$12:$B$16,2,FALSE),0)</f>
        <v/>
      </c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0" t="n"/>
      <c r="CP17" s="20" t="n"/>
      <c r="CQ17" s="20" t="n"/>
      <c r="CR17" s="20" t="n"/>
      <c r="CS17" s="20" t="n"/>
      <c r="CT17" s="20" t="n"/>
      <c r="CU17" s="20" t="n"/>
      <c r="CV17" s="20" t="n"/>
      <c r="CW17" s="20" t="n"/>
      <c r="CX17" s="20" t="n"/>
      <c r="CY17" s="20" t="n"/>
      <c r="CZ17" s="20" t="n"/>
      <c r="DA17" s="20" t="n"/>
      <c r="DB17" s="20" t="n"/>
      <c r="DC17" s="20" t="n"/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20" t="n"/>
      <c r="DN17" s="20" t="n"/>
      <c r="DO17" s="20" t="n"/>
      <c r="DP17" s="20" t="n"/>
      <c r="DQ17" s="20" t="n"/>
      <c r="DR17" s="20" t="n"/>
      <c r="DS17" s="20" t="n"/>
      <c r="DT17" s="20" t="n"/>
      <c r="DU17" s="20" t="n"/>
      <c r="DV17" s="20" t="n"/>
      <c r="DW17" s="20" t="n"/>
      <c r="DX17" s="20" t="n"/>
      <c r="DY17" s="20" t="n"/>
      <c r="DZ17" s="20" t="n"/>
      <c r="EA17" s="20" t="n"/>
      <c r="EB17" s="20" t="n"/>
      <c r="EC17" s="20" t="n"/>
      <c r="ED17" s="20" t="n"/>
      <c r="EE17" s="20" t="n"/>
      <c r="EF17" s="20" t="n"/>
      <c r="EG17" s="20" t="n"/>
      <c r="EH17" s="20" t="n"/>
      <c r="EI17" s="20" t="n"/>
      <c r="EJ17" s="20" t="n"/>
    </row>
    <row r="18" ht="19" customHeight="1">
      <c r="A18" s="15" t="inlineStr">
        <is>
          <t>9. FB改善</t>
        </is>
      </c>
      <c r="B18" s="16" t="inlineStr">
        <is>
          <t>未定</t>
        </is>
      </c>
      <c r="C18" s="17" t="n">
        <v>46293</v>
      </c>
      <c r="D18" s="17" t="n">
        <v>46295</v>
      </c>
      <c r="E18" s="16">
        <f>IF(OR($C18="",$D18=""),"",$D18-$C18+1)</f>
        <v/>
      </c>
      <c r="F18" s="18" t="inlineStr">
        <is>
          <t>未着手</t>
        </is>
      </c>
      <c r="G18" s="19">
        <f>IFERROR(VLOOKUP($F18,'使い方と進捗の定義'!$A$12:$B$16,2,FALSE),0)</f>
        <v/>
      </c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  <c r="CE18" s="20" t="n"/>
      <c r="CF18" s="20" t="n"/>
      <c r="CG18" s="20" t="n"/>
      <c r="CH18" s="20" t="n"/>
      <c r="CI18" s="20" t="n"/>
      <c r="CJ18" s="20" t="n"/>
      <c r="CK18" s="20" t="n"/>
      <c r="CL18" s="20" t="n"/>
      <c r="CM18" s="20" t="n"/>
      <c r="CN18" s="20" t="n"/>
      <c r="CO18" s="20" t="n"/>
      <c r="CP18" s="20" t="n"/>
      <c r="CQ18" s="20" t="n"/>
      <c r="CR18" s="20" t="n"/>
      <c r="CS18" s="20" t="n"/>
      <c r="CT18" s="20" t="n"/>
      <c r="CU18" s="20" t="n"/>
      <c r="CV18" s="20" t="n"/>
      <c r="CW18" s="20" t="n"/>
      <c r="CX18" s="20" t="n"/>
      <c r="CY18" s="20" t="n"/>
      <c r="CZ18" s="20" t="n"/>
      <c r="DA18" s="20" t="n"/>
      <c r="DB18" s="20" t="n"/>
      <c r="DC18" s="20" t="n"/>
      <c r="DD18" s="20" t="n"/>
      <c r="DE18" s="20" t="n"/>
      <c r="DF18" s="20" t="n"/>
      <c r="DG18" s="20" t="n"/>
      <c r="DH18" s="20" t="n"/>
      <c r="DI18" s="20" t="n"/>
      <c r="DJ18" s="20" t="n"/>
      <c r="DK18" s="20" t="n"/>
      <c r="DL18" s="20" t="n"/>
      <c r="DM18" s="20" t="n"/>
      <c r="DN18" s="20" t="n"/>
      <c r="DO18" s="20" t="n"/>
      <c r="DP18" s="20" t="n"/>
      <c r="DQ18" s="20" t="n"/>
      <c r="DR18" s="20" t="n"/>
      <c r="DS18" s="20" t="n"/>
      <c r="DT18" s="20" t="n"/>
      <c r="DU18" s="20" t="n"/>
      <c r="DV18" s="20" t="n"/>
      <c r="DW18" s="20" t="n"/>
      <c r="DX18" s="20" t="n"/>
      <c r="DY18" s="20" t="n"/>
      <c r="DZ18" s="20" t="n"/>
      <c r="EA18" s="20" t="n"/>
      <c r="EB18" s="20" t="n"/>
      <c r="EC18" s="20" t="n"/>
      <c r="ED18" s="20" t="n"/>
      <c r="EE18" s="20" t="n"/>
      <c r="EF18" s="20" t="n"/>
      <c r="EG18" s="20" t="n"/>
      <c r="EH18" s="20" t="n"/>
      <c r="EI18" s="20" t="n"/>
      <c r="EJ18" s="20" t="n"/>
    </row>
    <row r="19" ht="19" customHeight="1">
      <c r="A19" s="15" t="inlineStr">
        <is>
          <t>10. 最終書類確認 ＆ 提出</t>
        </is>
      </c>
      <c r="B19" s="16" t="inlineStr">
        <is>
          <t>未定</t>
        </is>
      </c>
      <c r="C19" s="17" t="n">
        <v>46296</v>
      </c>
      <c r="D19" s="17" t="n">
        <v>46296</v>
      </c>
      <c r="E19" s="16">
        <f>IF(OR($C19="",$D19=""),"",$D19-$C19+1)</f>
        <v/>
      </c>
      <c r="F19" s="18" t="inlineStr">
        <is>
          <t>未着手</t>
        </is>
      </c>
      <c r="G19" s="19">
        <f>IFERROR(VLOOKUP($F19,'使い方と進捗の定義'!$A$12:$B$16,2,FALSE),0)</f>
        <v/>
      </c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0" t="n"/>
      <c r="BZ19" s="20" t="n"/>
      <c r="CA19" s="20" t="n"/>
      <c r="CB19" s="20" t="n"/>
      <c r="CC19" s="20" t="n"/>
      <c r="CD19" s="20" t="n"/>
      <c r="CE19" s="20" t="n"/>
      <c r="CF19" s="20" t="n"/>
      <c r="CG19" s="20" t="n"/>
      <c r="CH19" s="20" t="n"/>
      <c r="CI19" s="20" t="n"/>
      <c r="CJ19" s="20" t="n"/>
      <c r="CK19" s="20" t="n"/>
      <c r="CL19" s="20" t="n"/>
      <c r="CM19" s="20" t="n"/>
      <c r="CN19" s="20" t="n"/>
      <c r="CO19" s="20" t="n"/>
      <c r="CP19" s="20" t="n"/>
      <c r="CQ19" s="20" t="n"/>
      <c r="CR19" s="20" t="n"/>
      <c r="CS19" s="20" t="n"/>
      <c r="CT19" s="20" t="n"/>
      <c r="CU19" s="20" t="n"/>
      <c r="CV19" s="20" t="n"/>
      <c r="CW19" s="20" t="n"/>
      <c r="CX19" s="20" t="n"/>
      <c r="CY19" s="20" t="n"/>
      <c r="CZ19" s="20" t="n"/>
      <c r="DA19" s="20" t="n"/>
      <c r="DB19" s="20" t="n"/>
      <c r="DC19" s="20" t="n"/>
      <c r="DD19" s="20" t="n"/>
      <c r="DE19" s="20" t="n"/>
      <c r="DF19" s="20" t="n"/>
      <c r="DG19" s="20" t="n"/>
      <c r="DH19" s="20" t="n"/>
      <c r="DI19" s="20" t="n"/>
      <c r="DJ19" s="20" t="n"/>
      <c r="DK19" s="20" t="n"/>
      <c r="DL19" s="20" t="n"/>
      <c r="DM19" s="20" t="n"/>
      <c r="DN19" s="20" t="n"/>
      <c r="DO19" s="20" t="n"/>
      <c r="DP19" s="20" t="n"/>
      <c r="DQ19" s="20" t="n"/>
      <c r="DR19" s="20" t="n"/>
      <c r="DS19" s="20" t="n"/>
      <c r="DT19" s="20" t="n"/>
      <c r="DU19" s="20" t="n"/>
      <c r="DV19" s="20" t="n"/>
      <c r="DW19" s="20" t="n"/>
      <c r="DX19" s="20" t="n"/>
      <c r="DY19" s="20" t="n"/>
      <c r="DZ19" s="20" t="n"/>
      <c r="EA19" s="20" t="n"/>
      <c r="EB19" s="20" t="n"/>
      <c r="EC19" s="20" t="n"/>
      <c r="ED19" s="20" t="n"/>
      <c r="EE19" s="20" t="n"/>
      <c r="EF19" s="20" t="n"/>
      <c r="EG19" s="20" t="n"/>
      <c r="EH19" s="20" t="n"/>
      <c r="EI19" s="20" t="n"/>
      <c r="EJ19" s="20" t="n"/>
    </row>
    <row r="20" ht="19" customHeight="1">
      <c r="A20" s="22" t="inlineStr">
        <is>
          <t>◆ 応募締切（10月8日 木）</t>
        </is>
      </c>
      <c r="B20" s="23" t="inlineStr">
        <is>
          <t>鈴木・西村</t>
        </is>
      </c>
      <c r="C20" s="24" t="n">
        <v>46303</v>
      </c>
      <c r="D20" s="24" t="n">
        <v>46303</v>
      </c>
      <c r="E20" s="23">
        <f>IF(OR($C20="",$D20=""),"",$D20-$C20+1)</f>
        <v/>
      </c>
      <c r="F20" s="25" t="inlineStr">
        <is>
          <t>未着手</t>
        </is>
      </c>
      <c r="G20" s="26">
        <f>IFERROR(VLOOKUP($F20,'使い方と進捗の定義'!$A$12:$B$16,2,FALSE),0)</f>
        <v/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  <c r="AW20" s="27" t="n"/>
      <c r="AX20" s="27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7" t="n"/>
      <c r="BJ20" s="27" t="n"/>
      <c r="BK20" s="27" t="n"/>
      <c r="BL20" s="27" t="n"/>
      <c r="BM20" s="27" t="n"/>
      <c r="BN20" s="27" t="n"/>
      <c r="BO20" s="27" t="n"/>
      <c r="BP20" s="27" t="n"/>
      <c r="BQ20" s="27" t="n"/>
      <c r="BR20" s="27" t="n"/>
      <c r="BS20" s="27" t="n"/>
      <c r="BT20" s="27" t="n"/>
      <c r="BU20" s="27" t="n"/>
      <c r="BV20" s="27" t="n"/>
      <c r="BW20" s="27" t="n"/>
      <c r="BX20" s="27" t="n"/>
      <c r="BY20" s="27" t="n"/>
      <c r="BZ20" s="27" t="n"/>
      <c r="CA20" s="27" t="n"/>
      <c r="CB20" s="27" t="n"/>
      <c r="CC20" s="27" t="n"/>
      <c r="CD20" s="27" t="n"/>
      <c r="CE20" s="27" t="n"/>
      <c r="CF20" s="27" t="n"/>
      <c r="CG20" s="27" t="n"/>
      <c r="CH20" s="27" t="n"/>
      <c r="CI20" s="27" t="n"/>
      <c r="CJ20" s="27" t="n"/>
      <c r="CK20" s="27" t="n"/>
      <c r="CL20" s="27" t="n"/>
      <c r="CM20" s="27" t="n"/>
      <c r="CN20" s="27" t="n"/>
      <c r="CO20" s="27" t="n"/>
      <c r="CP20" s="27" t="n"/>
      <c r="CQ20" s="27" t="n"/>
      <c r="CR20" s="27" t="n"/>
      <c r="CS20" s="27" t="n"/>
      <c r="CT20" s="27" t="n"/>
      <c r="CU20" s="27" t="n"/>
      <c r="CV20" s="27" t="n"/>
      <c r="CW20" s="27" t="n"/>
      <c r="CX20" s="27" t="n"/>
      <c r="CY20" s="27" t="n"/>
      <c r="CZ20" s="27" t="n"/>
      <c r="DA20" s="27" t="n"/>
      <c r="DB20" s="27" t="n"/>
      <c r="DC20" s="27" t="n"/>
      <c r="DD20" s="27" t="n"/>
      <c r="DE20" s="27" t="n"/>
      <c r="DF20" s="27" t="n"/>
      <c r="DG20" s="27" t="n"/>
      <c r="DH20" s="27" t="n"/>
      <c r="DI20" s="27" t="n"/>
      <c r="DJ20" s="27" t="n"/>
      <c r="DK20" s="27" t="n"/>
      <c r="DL20" s="27" t="n"/>
      <c r="DM20" s="27" t="n"/>
      <c r="DN20" s="27" t="n"/>
      <c r="DO20" s="27" t="n"/>
      <c r="DP20" s="27" t="n"/>
      <c r="DQ20" s="27" t="n"/>
      <c r="DR20" s="27" t="n"/>
      <c r="DS20" s="27" t="n"/>
      <c r="DT20" s="27" t="n"/>
      <c r="DU20" s="27" t="n"/>
      <c r="DV20" s="27" t="n"/>
      <c r="DW20" s="27" t="n"/>
      <c r="DX20" s="27" t="n"/>
      <c r="DY20" s="27" t="n"/>
      <c r="DZ20" s="27" t="n"/>
      <c r="EA20" s="27" t="n"/>
      <c r="EB20" s="27" t="n"/>
      <c r="EC20" s="27" t="n"/>
      <c r="ED20" s="27" t="n"/>
      <c r="EE20" s="27" t="n"/>
      <c r="EF20" s="27" t="n"/>
      <c r="EG20" s="27" t="n"/>
      <c r="EH20" s="27" t="n"/>
      <c r="EI20" s="27" t="n"/>
      <c r="EJ20" s="27" t="n"/>
    </row>
    <row r="21" ht="19" customHeight="1">
      <c r="A21" s="15" t="inlineStr">
        <is>
          <t>11. 練習</t>
        </is>
      </c>
      <c r="B21" s="16" t="inlineStr">
        <is>
          <t>未定</t>
        </is>
      </c>
      <c r="C21" s="17" t="n"/>
      <c r="D21" s="17" t="n"/>
      <c r="E21" s="16">
        <f>IF(OR($C21="",$D21=""),"",$D21-$C21+1)</f>
        <v/>
      </c>
      <c r="F21" s="18" t="inlineStr">
        <is>
          <t>未着手</t>
        </is>
      </c>
      <c r="G21" s="19">
        <f>IFERROR(VLOOKUP($F21,'使い方と進捗の定義'!$A$12:$B$16,2,FALSE),0)</f>
        <v/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/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0" t="n"/>
      <c r="CP21" s="20" t="n"/>
      <c r="CQ21" s="20" t="n"/>
      <c r="CR21" s="20" t="n"/>
      <c r="CS21" s="20" t="n"/>
      <c r="CT21" s="20" t="n"/>
      <c r="CU21" s="20" t="n"/>
      <c r="CV21" s="20" t="n"/>
      <c r="CW21" s="20" t="n"/>
      <c r="CX21" s="20" t="n"/>
      <c r="CY21" s="20" t="n"/>
      <c r="CZ21" s="20" t="n"/>
      <c r="DA21" s="20" t="n"/>
      <c r="DB21" s="20" t="n"/>
      <c r="DC21" s="20" t="n"/>
      <c r="DD21" s="20" t="n"/>
      <c r="DE21" s="20" t="n"/>
      <c r="DF21" s="20" t="n"/>
      <c r="DG21" s="20" t="n"/>
      <c r="DH21" s="20" t="n"/>
      <c r="DI21" s="20" t="n"/>
      <c r="DJ21" s="20" t="n"/>
      <c r="DK21" s="20" t="n"/>
      <c r="DL21" s="20" t="n"/>
      <c r="DM21" s="20" t="n"/>
      <c r="DN21" s="20" t="n"/>
      <c r="DO21" s="20" t="n"/>
      <c r="DP21" s="20" t="n"/>
      <c r="DQ21" s="20" t="n"/>
      <c r="DR21" s="20" t="n"/>
      <c r="DS21" s="20" t="n"/>
      <c r="DT21" s="20" t="n"/>
      <c r="DU21" s="20" t="n"/>
      <c r="DV21" s="20" t="n"/>
      <c r="DW21" s="20" t="n"/>
      <c r="DX21" s="20" t="n"/>
      <c r="DY21" s="20" t="n"/>
      <c r="DZ21" s="20" t="n"/>
      <c r="EA21" s="20" t="n"/>
      <c r="EB21" s="20" t="n"/>
      <c r="EC21" s="20" t="n"/>
      <c r="ED21" s="20" t="n"/>
      <c r="EE21" s="20" t="n"/>
      <c r="EF21" s="20" t="n"/>
      <c r="EG21" s="20" t="n"/>
      <c r="EH21" s="20" t="n"/>
      <c r="EI21" s="20" t="n"/>
      <c r="EJ21" s="20" t="n"/>
    </row>
    <row r="22" ht="19" customHeight="1">
      <c r="A22" s="22" t="inlineStr">
        <is>
          <t>◆ 12. 本番：和歌山県データ利活用推進センター 10:00〜</t>
        </is>
      </c>
      <c r="B22" s="23" t="inlineStr">
        <is>
          <t>鈴木・西村</t>
        </is>
      </c>
      <c r="C22" s="24" t="n">
        <v>46368</v>
      </c>
      <c r="D22" s="24" t="n">
        <v>46368</v>
      </c>
      <c r="E22" s="23">
        <f>IF(OR($C22="",$D22=""),"",$D22-$C22+1)</f>
        <v/>
      </c>
      <c r="F22" s="25" t="inlineStr">
        <is>
          <t>未着手</t>
        </is>
      </c>
      <c r="G22" s="26">
        <f>IFERROR(VLOOKUP($F22,'使い方と進捗の定義'!$A$12:$B$16,2,FALSE),0)</f>
        <v/>
      </c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  <c r="BK22" s="27" t="n"/>
      <c r="BL22" s="27" t="n"/>
      <c r="BM22" s="27" t="n"/>
      <c r="BN22" s="27" t="n"/>
      <c r="BO22" s="27" t="n"/>
      <c r="BP22" s="27" t="n"/>
      <c r="BQ22" s="27" t="n"/>
      <c r="BR22" s="27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  <c r="CG22" s="27" t="n"/>
      <c r="CH22" s="27" t="n"/>
      <c r="CI22" s="27" t="n"/>
      <c r="CJ22" s="27" t="n"/>
      <c r="CK22" s="27" t="n"/>
      <c r="CL22" s="27" t="n"/>
      <c r="CM22" s="27" t="n"/>
      <c r="CN22" s="27" t="n"/>
      <c r="CO22" s="27" t="n"/>
      <c r="CP22" s="27" t="n"/>
      <c r="CQ22" s="27" t="n"/>
      <c r="CR22" s="27" t="n"/>
      <c r="CS22" s="27" t="n"/>
      <c r="CT22" s="27" t="n"/>
      <c r="CU22" s="27" t="n"/>
      <c r="CV22" s="27" t="n"/>
      <c r="CW22" s="27" t="n"/>
      <c r="CX22" s="27" t="n"/>
      <c r="CY22" s="27" t="n"/>
      <c r="CZ22" s="27" t="n"/>
      <c r="DA22" s="27" t="n"/>
      <c r="DB22" s="27" t="n"/>
      <c r="DC22" s="27" t="n"/>
      <c r="DD22" s="27" t="n"/>
      <c r="DE22" s="27" t="n"/>
      <c r="DF22" s="27" t="n"/>
      <c r="DG22" s="27" t="n"/>
      <c r="DH22" s="27" t="n"/>
      <c r="DI22" s="27" t="n"/>
      <c r="DJ22" s="27" t="n"/>
      <c r="DK22" s="27" t="n"/>
      <c r="DL22" s="27" t="n"/>
      <c r="DM22" s="27" t="n"/>
      <c r="DN22" s="27" t="n"/>
      <c r="DO22" s="27" t="n"/>
      <c r="DP22" s="27" t="n"/>
      <c r="DQ22" s="27" t="n"/>
      <c r="DR22" s="27" t="n"/>
      <c r="DS22" s="27" t="n"/>
      <c r="DT22" s="27" t="n"/>
      <c r="DU22" s="27" t="n"/>
      <c r="DV22" s="27" t="n"/>
      <c r="DW22" s="27" t="n"/>
      <c r="DX22" s="27" t="n"/>
      <c r="DY22" s="27" t="n"/>
      <c r="DZ22" s="27" t="n"/>
      <c r="EA22" s="27" t="n"/>
      <c r="EB22" s="27" t="n"/>
      <c r="EC22" s="27" t="n"/>
      <c r="ED22" s="27" t="n"/>
      <c r="EE22" s="27" t="n"/>
      <c r="EF22" s="27" t="n"/>
      <c r="EG22" s="27" t="n"/>
      <c r="EH22" s="27" t="n"/>
      <c r="EI22" s="27" t="n"/>
      <c r="EJ22" s="27" t="n"/>
    </row>
    <row r="23" ht="19" customHeight="1">
      <c r="A23" s="10" t="inlineStr">
        <is>
          <t>応募書類の作成</t>
        </is>
      </c>
      <c r="B23" s="11" t="n"/>
      <c r="C23" s="12" t="n"/>
      <c r="D23" s="12" t="n"/>
      <c r="E23" s="11" t="n"/>
      <c r="F23" s="13" t="n"/>
      <c r="G23" s="11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 t="n"/>
      <c r="CA23" s="14" t="n"/>
      <c r="CB23" s="14" t="n"/>
      <c r="CC23" s="14" t="n"/>
      <c r="CD23" s="14" t="n"/>
      <c r="CE23" s="14" t="n"/>
      <c r="CF23" s="14" t="n"/>
      <c r="CG23" s="14" t="n"/>
      <c r="CH23" s="14" t="n"/>
      <c r="CI23" s="14" t="n"/>
      <c r="CJ23" s="14" t="n"/>
      <c r="CK23" s="14" t="n"/>
      <c r="CL23" s="14" t="n"/>
      <c r="CM23" s="14" t="n"/>
      <c r="CN23" s="14" t="n"/>
      <c r="CO23" s="14" t="n"/>
      <c r="CP23" s="14" t="n"/>
      <c r="CQ23" s="14" t="n"/>
      <c r="CR23" s="14" t="n"/>
      <c r="CS23" s="14" t="n"/>
      <c r="CT23" s="14" t="n"/>
      <c r="CU23" s="14" t="n"/>
      <c r="CV23" s="14" t="n"/>
      <c r="CW23" s="14" t="n"/>
      <c r="CX23" s="14" t="n"/>
      <c r="CY23" s="14" t="n"/>
      <c r="CZ23" s="14" t="n"/>
      <c r="DA23" s="14" t="n"/>
      <c r="DB23" s="14" t="n"/>
      <c r="DC23" s="14" t="n"/>
      <c r="DD23" s="14" t="n"/>
      <c r="DE23" s="14" t="n"/>
      <c r="DF23" s="14" t="n"/>
      <c r="DG23" s="14" t="n"/>
      <c r="DH23" s="14" t="n"/>
      <c r="DI23" s="14" t="n"/>
      <c r="DJ23" s="14" t="n"/>
      <c r="DK23" s="14" t="n"/>
      <c r="DL23" s="14" t="n"/>
      <c r="DM23" s="14" t="n"/>
      <c r="DN23" s="14" t="n"/>
      <c r="DO23" s="14" t="n"/>
      <c r="DP23" s="14" t="n"/>
      <c r="DQ23" s="14" t="n"/>
      <c r="DR23" s="14" t="n"/>
      <c r="DS23" s="14" t="n"/>
      <c r="DT23" s="14" t="n"/>
      <c r="DU23" s="14" t="n"/>
      <c r="DV23" s="14" t="n"/>
      <c r="DW23" s="14" t="n"/>
      <c r="DX23" s="14" t="n"/>
      <c r="DY23" s="14" t="n"/>
      <c r="DZ23" s="14" t="n"/>
      <c r="EA23" s="14" t="n"/>
      <c r="EB23" s="14" t="n"/>
      <c r="EC23" s="14" t="n"/>
      <c r="ED23" s="14" t="n"/>
      <c r="EE23" s="14" t="n"/>
      <c r="EF23" s="14" t="n"/>
      <c r="EG23" s="14" t="n"/>
      <c r="EH23" s="14" t="n"/>
      <c r="EI23" s="14" t="n"/>
      <c r="EJ23" s="14" t="n"/>
    </row>
    <row r="24" ht="19" customHeight="1">
      <c r="A24" s="15" t="inlineStr">
        <is>
          <t>応募用紙</t>
        </is>
      </c>
      <c r="B24" s="16" t="inlineStr">
        <is>
          <t>未定</t>
        </is>
      </c>
      <c r="C24" s="17" t="n"/>
      <c r="D24" s="17" t="n"/>
      <c r="E24" s="16">
        <f>IF(OR($C24="",$D24=""),"",$D24-$C24+1)</f>
        <v/>
      </c>
      <c r="F24" s="18" t="inlineStr">
        <is>
          <t>未着手</t>
        </is>
      </c>
      <c r="G24" s="19">
        <f>IFERROR(VLOOKUP($F24,'使い方と進捗の定義'!$A$12:$B$16,2,FALSE),0)</f>
        <v/>
      </c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/>
      <c r="AZ24" s="20" t="n"/>
      <c r="BA24" s="20" t="n"/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20" t="n"/>
      <c r="BZ24" s="20" t="n"/>
      <c r="CA24" s="20" t="n"/>
      <c r="CB24" s="20" t="n"/>
      <c r="CC24" s="20" t="n"/>
      <c r="CD24" s="20" t="n"/>
      <c r="CE24" s="20" t="n"/>
      <c r="CF24" s="20" t="n"/>
      <c r="CG24" s="20" t="n"/>
      <c r="CH24" s="20" t="n"/>
      <c r="CI24" s="20" t="n"/>
      <c r="CJ24" s="20" t="n"/>
      <c r="CK24" s="20" t="n"/>
      <c r="CL24" s="20" t="n"/>
      <c r="CM24" s="20" t="n"/>
      <c r="CN24" s="20" t="n"/>
      <c r="CO24" s="20" t="n"/>
      <c r="CP24" s="20" t="n"/>
      <c r="CQ24" s="20" t="n"/>
      <c r="CR24" s="20" t="n"/>
      <c r="CS24" s="20" t="n"/>
      <c r="CT24" s="20" t="n"/>
      <c r="CU24" s="20" t="n"/>
      <c r="CV24" s="20" t="n"/>
      <c r="CW24" s="20" t="n"/>
      <c r="CX24" s="20" t="n"/>
      <c r="CY24" s="20" t="n"/>
      <c r="CZ24" s="20" t="n"/>
      <c r="DA24" s="20" t="n"/>
      <c r="DB24" s="20" t="n"/>
      <c r="DC24" s="20" t="n"/>
      <c r="DD24" s="20" t="n"/>
      <c r="DE24" s="20" t="n"/>
      <c r="DF24" s="20" t="n"/>
      <c r="DG24" s="20" t="n"/>
      <c r="DH24" s="20" t="n"/>
      <c r="DI24" s="20" t="n"/>
      <c r="DJ24" s="20" t="n"/>
      <c r="DK24" s="20" t="n"/>
      <c r="DL24" s="20" t="n"/>
      <c r="DM24" s="20" t="n"/>
      <c r="DN24" s="20" t="n"/>
      <c r="DO24" s="20" t="n"/>
      <c r="DP24" s="20" t="n"/>
      <c r="DQ24" s="20" t="n"/>
      <c r="DR24" s="20" t="n"/>
      <c r="DS24" s="20" t="n"/>
      <c r="DT24" s="20" t="n"/>
      <c r="DU24" s="20" t="n"/>
      <c r="DV24" s="20" t="n"/>
      <c r="DW24" s="20" t="n"/>
      <c r="DX24" s="20" t="n"/>
      <c r="DY24" s="20" t="n"/>
      <c r="DZ24" s="20" t="n"/>
      <c r="EA24" s="20" t="n"/>
      <c r="EB24" s="20" t="n"/>
      <c r="EC24" s="20" t="n"/>
      <c r="ED24" s="20" t="n"/>
      <c r="EE24" s="20" t="n"/>
      <c r="EF24" s="20" t="n"/>
      <c r="EG24" s="20" t="n"/>
      <c r="EH24" s="20" t="n"/>
      <c r="EI24" s="20" t="n"/>
      <c r="EJ24" s="20" t="n"/>
    </row>
    <row r="25" ht="19" customHeight="1">
      <c r="A25" s="15" t="inlineStr">
        <is>
          <t>プレゼン資料</t>
        </is>
      </c>
      <c r="B25" s="16" t="inlineStr">
        <is>
          <t>未定</t>
        </is>
      </c>
      <c r="C25" s="17" t="n"/>
      <c r="D25" s="17" t="n"/>
      <c r="E25" s="16">
        <f>IF(OR($C25="",$D25=""),"",$D25-$C25+1)</f>
        <v/>
      </c>
      <c r="F25" s="18" t="inlineStr">
        <is>
          <t>未着手</t>
        </is>
      </c>
      <c r="G25" s="19">
        <f>IFERROR(VLOOKUP($F25,'使い方と進捗の定義'!$A$12:$B$16,2,FALSE),0)</f>
        <v/>
      </c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20" t="n"/>
      <c r="BZ25" s="20" t="n"/>
      <c r="CA25" s="20" t="n"/>
      <c r="CB25" s="20" t="n"/>
      <c r="CC25" s="20" t="n"/>
      <c r="CD25" s="20" t="n"/>
      <c r="CE25" s="20" t="n"/>
      <c r="CF25" s="20" t="n"/>
      <c r="CG25" s="20" t="n"/>
      <c r="CH25" s="20" t="n"/>
      <c r="CI25" s="20" t="n"/>
      <c r="CJ25" s="20" t="n"/>
      <c r="CK25" s="20" t="n"/>
      <c r="CL25" s="20" t="n"/>
      <c r="CM25" s="20" t="n"/>
      <c r="CN25" s="20" t="n"/>
      <c r="CO25" s="20" t="n"/>
      <c r="CP25" s="20" t="n"/>
      <c r="CQ25" s="20" t="n"/>
      <c r="CR25" s="20" t="n"/>
      <c r="CS25" s="20" t="n"/>
      <c r="CT25" s="20" t="n"/>
      <c r="CU25" s="20" t="n"/>
      <c r="CV25" s="20" t="n"/>
      <c r="CW25" s="20" t="n"/>
      <c r="CX25" s="20" t="n"/>
      <c r="CY25" s="20" t="n"/>
      <c r="CZ25" s="20" t="n"/>
      <c r="DA25" s="20" t="n"/>
      <c r="DB25" s="20" t="n"/>
      <c r="DC25" s="20" t="n"/>
      <c r="DD25" s="20" t="n"/>
      <c r="DE25" s="20" t="n"/>
      <c r="DF25" s="20" t="n"/>
      <c r="DG25" s="20" t="n"/>
      <c r="DH25" s="20" t="n"/>
      <c r="DI25" s="20" t="n"/>
      <c r="DJ25" s="20" t="n"/>
      <c r="DK25" s="20" t="n"/>
      <c r="DL25" s="20" t="n"/>
      <c r="DM25" s="20" t="n"/>
      <c r="DN25" s="20" t="n"/>
      <c r="DO25" s="20" t="n"/>
      <c r="DP25" s="20" t="n"/>
      <c r="DQ25" s="20" t="n"/>
      <c r="DR25" s="20" t="n"/>
      <c r="DS25" s="20" t="n"/>
      <c r="DT25" s="20" t="n"/>
      <c r="DU25" s="20" t="n"/>
      <c r="DV25" s="20" t="n"/>
      <c r="DW25" s="20" t="n"/>
      <c r="DX25" s="20" t="n"/>
      <c r="DY25" s="20" t="n"/>
      <c r="DZ25" s="20" t="n"/>
      <c r="EA25" s="20" t="n"/>
      <c r="EB25" s="20" t="n"/>
      <c r="EC25" s="20" t="n"/>
      <c r="ED25" s="20" t="n"/>
      <c r="EE25" s="20" t="n"/>
      <c r="EF25" s="20" t="n"/>
      <c r="EG25" s="20" t="n"/>
      <c r="EH25" s="20" t="n"/>
      <c r="EI25" s="20" t="n"/>
      <c r="EJ25" s="20" t="n"/>
    </row>
    <row r="27">
      <c r="A27" s="28" t="inlineStr">
        <is>
          <t>凡例</t>
        </is>
      </c>
    </row>
    <row r="28">
      <c r="A28" s="29" t="inlineStr"/>
      <c r="B28" s="30" t="inlineStr">
        <is>
          <t>予定期間</t>
        </is>
      </c>
    </row>
    <row r="29">
      <c r="A29" s="31" t="inlineStr"/>
      <c r="B29" s="30" t="inlineStr">
        <is>
          <t>実績（ステータスに連動して自動で伸びる）</t>
        </is>
      </c>
    </row>
    <row r="30">
      <c r="A30" s="32" t="inlineStr"/>
      <c r="B30" s="30" t="inlineStr">
        <is>
          <t>マイルストーン（締切・本番）</t>
        </is>
      </c>
    </row>
    <row r="31">
      <c r="A31" s="33" t="inlineStr"/>
      <c r="B31" s="30" t="inlineStr">
        <is>
          <t>大分類</t>
        </is>
      </c>
    </row>
    <row r="32">
      <c r="A32" s="34" t="inlineStr"/>
      <c r="B32" s="30" t="inlineStr">
        <is>
          <t>土曜／日曜</t>
        </is>
      </c>
    </row>
    <row r="34">
      <c r="A34" s="35" t="inlineStr">
        <is>
          <t>※ 出典：Wakayama/docs/和歌山コンペ_分析要件定義書 (1)0810.md「wbs」セクション（2026年8月7日 MTG）</t>
        </is>
      </c>
    </row>
    <row r="35">
      <c r="A35" s="35" t="inlineStr">
        <is>
          <t>※ B列（タスクオーナー）とF列（ステータス）はプルダウン。セルを選ぶと右に▼が出ます。</t>
        </is>
      </c>
    </row>
    <row r="36">
      <c r="A36" s="35" t="inlineStr">
        <is>
          <t>※ G列（進捗率）は F列から自動計算される数式です。直接入力しないでください。</t>
        </is>
      </c>
    </row>
    <row r="37">
      <c r="A37" s="35" t="inlineStr">
        <is>
          <t>※ 各ステータスに上げる条件と、タスクごとの「完了」の定義は「使い方と進捗の定義」シートにあります。</t>
        </is>
      </c>
    </row>
    <row r="38">
      <c r="A38" s="35" t="inlineStr">
        <is>
          <t>※ 「4. 議論」「11. 練習」「応募用紙」「プレゼン資料」は原文に日付が無いため空欄。日付を入れるとバーが自動で描かれます。</t>
        </is>
      </c>
    </row>
  </sheetData>
  <autoFilter ref="A4:G25"/>
  <mergeCells count="31">
    <mergeCell ref="DI2:DO2"/>
    <mergeCell ref="ED2:EJ2"/>
    <mergeCell ref="O2:U2"/>
    <mergeCell ref="A1:A4"/>
    <mergeCell ref="C1:C4"/>
    <mergeCell ref="BS2:BY2"/>
    <mergeCell ref="E1:E4"/>
    <mergeCell ref="AC2:AI2"/>
    <mergeCell ref="H1:AJ1"/>
    <mergeCell ref="BL2:BR2"/>
    <mergeCell ref="DB2:DH2"/>
    <mergeCell ref="DP2:DV2"/>
    <mergeCell ref="AK1:BN1"/>
    <mergeCell ref="V2:AB2"/>
    <mergeCell ref="B1:B4"/>
    <mergeCell ref="BO1:CS1"/>
    <mergeCell ref="BZ2:CF2"/>
    <mergeCell ref="AJ2:AP2"/>
    <mergeCell ref="CN2:CT2"/>
    <mergeCell ref="DW2:EC2"/>
    <mergeCell ref="DX1:EJ1"/>
    <mergeCell ref="G1:G4"/>
    <mergeCell ref="AX2:BD2"/>
    <mergeCell ref="CG2:CM2"/>
    <mergeCell ref="H2:N2"/>
    <mergeCell ref="CU2:DA2"/>
    <mergeCell ref="AQ2:AW2"/>
    <mergeCell ref="D1:D4"/>
    <mergeCell ref="F1:F4"/>
    <mergeCell ref="BE2:BK2"/>
    <mergeCell ref="CT1:DW1"/>
  </mergeCells>
  <conditionalFormatting sqref="H5:EJ25">
    <cfRule type="expression" priority="1" dxfId="0" stopIfTrue="0">
      <formula>H$3=TODAY()</formula>
    </cfRule>
    <cfRule type="expression" priority="2" dxfId="1" stopIfTrue="1">
      <formula>AND($C5&lt;&gt;"",$D5&lt;&gt;"",$G5&gt;0,H$3&gt;=$C5,H$3&lt;=$C5+ROUNDUP(($D5-$C5+1)*$G5,0)-1)</formula>
    </cfRule>
    <cfRule type="expression" priority="3" dxfId="2" stopIfTrue="1">
      <formula>AND($C5&lt;&gt;"",$D5&lt;&gt;"",H$3&gt;=$C5,H$3&lt;=$D5)</formula>
    </cfRule>
    <cfRule type="expression" priority="4" dxfId="3" stopIfTrue="1">
      <formula>WEEKDAY(H$3,2)=7</formula>
    </cfRule>
    <cfRule type="expression" priority="5" dxfId="4" stopIfTrue="1">
      <formula>WEEKDAY(H$3,2)=6</formula>
    </cfRule>
  </conditionalFormatting>
  <conditionalFormatting sqref="F5:F25">
    <cfRule type="expression" priority="6" dxfId="5" stopIfTrue="1">
      <formula>$F5="未着手"</formula>
    </cfRule>
    <cfRule type="expression" priority="7" dxfId="6" stopIfTrue="1">
      <formula>$F5="着手"</formula>
    </cfRule>
    <cfRule type="expression" priority="8" dxfId="7" stopIfTrue="1">
      <formula>$F5="作業中"</formula>
    </cfRule>
    <cfRule type="expression" priority="9" dxfId="8" stopIfTrue="1">
      <formula>$F5="レビュー待ち"</formula>
    </cfRule>
    <cfRule type="expression" priority="10" dxfId="9" stopIfTrue="1">
      <formula>$F5="完了"</formula>
    </cfRule>
  </conditionalFormatting>
  <conditionalFormatting sqref="G5:G25">
    <cfRule type="dataBar" priority="11">
      <dataBar showValue="1">
        <cfvo type="num" val="0"/>
        <cfvo type="num" val="1"/>
        <color rgb="0063BE7B"/>
      </dataBar>
    </cfRule>
  </conditionalFormatting>
  <dataValidations count="2">
    <dataValidation sqref="B6 B7 B8 B9 B10 B11 B12 B13 B14 B15 B16 B17 B18 B19 B20 B21 B22 B24 B25" showDropDown="0" showInputMessage="1" showErrorMessage="1" allowBlank="1" errorTitle="タスクオーナー" error="鈴木 / 西村 / 鈴木・西村 / 未定 から選んでください。" promptTitle="タスクオーナー" prompt="担当を選択。2人でやるタスクは「鈴木・西村」。" type="list">
      <formula1>='使い方と進捗の定義'!$A$5:$A$8</formula1>
    </dataValidation>
    <dataValidation sqref="F6 F7 F8 F9 F10 F11 F12 F13 F14 F15 F16 F17 F18 F19 F20 F21 F22 F24 F25" showDropDown="0" showInputMessage="1" showErrorMessage="1" allowBlank="1" errorTitle="ステータス" error="未着手 / 着手 / 作業中 / レビュー待ち / 完了 から選んでください。" promptTitle="ステータス" prompt="選ぶと進捗率(G列)とガントの実績バーが自動で変わります。&#10;各段階の条件は「使い方と進捗の定義」シートを参照。" type="list">
      <formula1>='使い方と進捗の定義'!$A$12:$A$16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8" customWidth="1" min="3" max="3"/>
  </cols>
  <sheetData>
    <row r="1" ht="26" customHeight="1">
      <c r="A1" s="36" t="inlineStr">
        <is>
          <t>使い方と進捗の定義</t>
        </is>
      </c>
    </row>
    <row r="2">
      <c r="A2" s="35" t="inlineStr">
        <is>
          <t>このシートの表が、そのままガントチャート側のプルダウンの選択肢になっています。文言を書き換えると選択肢も変わります。</t>
        </is>
      </c>
    </row>
    <row r="3" ht="22" customHeight="1">
      <c r="A3" s="37" t="inlineStr">
        <is>
          <t>1. タスクオーナー（ガントチャートのB列）</t>
        </is>
      </c>
    </row>
    <row r="4" ht="18" customHeight="1">
      <c r="A4" s="38" t="inlineStr">
        <is>
          <t>選択肢</t>
        </is>
      </c>
      <c r="B4" s="38" t="inlineStr"/>
      <c r="C4" s="38" t="inlineStr">
        <is>
          <t>意味</t>
        </is>
      </c>
    </row>
    <row r="5" ht="17" customHeight="1">
      <c r="A5" s="39" t="inlineStr">
        <is>
          <t>鈴木</t>
        </is>
      </c>
      <c r="B5" s="40" t="n"/>
      <c r="C5" s="41" t="inlineStr">
        <is>
          <t>鈴木が単独で持つタスク。</t>
        </is>
      </c>
    </row>
    <row r="6" ht="17" customHeight="1">
      <c r="A6" s="39" t="inlineStr">
        <is>
          <t>西村</t>
        </is>
      </c>
      <c r="B6" s="40" t="n"/>
      <c r="C6" s="41" t="inlineStr">
        <is>
          <t>西村氏が単独で持つタスク。</t>
        </is>
      </c>
    </row>
    <row r="7" ht="17" customHeight="1">
      <c r="A7" s="39" t="inlineStr">
        <is>
          <t>鈴木・西村</t>
        </is>
      </c>
      <c r="B7" s="40" t="n"/>
      <c r="C7" s="41" t="inlineStr">
        <is>
          <t>2人で一緒にやるタスク。どちらかが欠けると進まないもの。</t>
        </is>
      </c>
    </row>
    <row r="8" ht="17" customHeight="1">
      <c r="A8" s="39" t="inlineStr">
        <is>
          <t>未定</t>
        </is>
      </c>
      <c r="B8" s="40" t="n"/>
      <c r="C8" s="41" t="inlineStr">
        <is>
          <t>WBS原文に担当の明記がなく、まだ割り振っていないタスク。</t>
        </is>
      </c>
    </row>
    <row r="10" ht="22" customHeight="1">
      <c r="A10" s="37" t="inlineStr">
        <is>
          <t>2. ステータス（F列）と進捗率（G列）</t>
        </is>
      </c>
    </row>
    <row r="11" ht="18" customHeight="1">
      <c r="A11" s="38" t="inlineStr">
        <is>
          <t>ステータス</t>
        </is>
      </c>
      <c r="B11" s="38" t="inlineStr">
        <is>
          <t>進捗率</t>
        </is>
      </c>
      <c r="C11" s="38" t="inlineStr">
        <is>
          <t>この状態に上げてよい条件（＝何をしたら次に進むか）</t>
        </is>
      </c>
    </row>
    <row r="12" ht="30" customHeight="1">
      <c r="A12" s="42" t="inlineStr">
        <is>
          <t>未着手</t>
        </is>
      </c>
      <c r="B12" s="43" t="n">
        <v>0</v>
      </c>
      <c r="C12" s="41" t="inlineStr">
        <is>
          <t>まだ手をつけていない。開始日を過ぎてもここなら遅延。</t>
        </is>
      </c>
    </row>
    <row r="13" ht="30" customHeight="1">
      <c r="A13" s="44" t="inlineStr">
        <is>
          <t>着手</t>
        </is>
      </c>
      <c r="B13" s="43" t="n">
        <v>0.25</v>
      </c>
      <c r="C13" s="41" t="inlineStr">
        <is>
          <t>着手を宣言し、必要な材料（データ・資料・連絡先・参照リンク）を洗い出して手元に揃えた。</t>
        </is>
      </c>
    </row>
    <row r="14" ht="30" customHeight="1">
      <c r="A14" s="45" t="inlineStr">
        <is>
          <t>作業中</t>
        </is>
      </c>
      <c r="B14" s="43" t="n">
        <v>0.5</v>
      </c>
      <c r="C14" s="41" t="inlineStr">
        <is>
          <t>成果物の初版がファイルとして存在し、リポジトリにコミットされている。中身の完成度は問わない。</t>
        </is>
      </c>
    </row>
    <row r="15" ht="30" customHeight="1">
      <c r="A15" s="46" t="inlineStr">
        <is>
          <t>レビュー待ち</t>
        </is>
      </c>
      <c r="B15" s="43" t="n">
        <v>0.75</v>
      </c>
      <c r="C15" s="41" t="inlineStr">
        <is>
          <t>相手（西村氏／教授陣／竹本様／パーソルのDS等）に共有し、返答・確認を待っている。自分の手は離れている。</t>
        </is>
      </c>
    </row>
    <row r="16" ht="30" customHeight="1">
      <c r="A16" s="47" t="inlineStr">
        <is>
          <t>完了</t>
        </is>
      </c>
      <c r="B16" s="43" t="n">
        <v>1</v>
      </c>
      <c r="C16" s="41" t="inlineStr">
        <is>
          <t>相手の確認が取れ、指摘の反映まで終わった。次のタスクにそのまま渡せる状態。</t>
        </is>
      </c>
    </row>
    <row r="17">
      <c r="A17" s="48" t="inlineStr">
        <is>
          <t>※ 進捗率(G列)はこの表の「進捗率」を引いてくる数式です。数字を直接いじらず、ステータスを選び直してください。</t>
        </is>
      </c>
    </row>
    <row r="18">
      <c r="A18" s="35" t="inlineStr">
        <is>
          <t>※ 迷ったら下げる。「レビュー待ち」は相手ボールのときだけ。自分の手元に戻ってきたら「作業中」に戻します。</t>
        </is>
      </c>
    </row>
    <row r="20" ht="22" customHeight="1">
      <c r="A20" s="37" t="inlineStr">
        <is>
          <t>3. タスクごとの「完了（100%）」の定義</t>
        </is>
      </c>
    </row>
    <row r="21" ht="18" customHeight="1">
      <c r="A21" s="38" t="inlineStr">
        <is>
          <t>タスク</t>
        </is>
      </c>
      <c r="B21" s="49" t="n"/>
      <c r="C21" s="38" t="inlineStr">
        <is>
          <t>これが満たせたら「完了」</t>
        </is>
      </c>
    </row>
    <row r="22" ht="28" customHeight="1">
      <c r="A22" s="50" t="inlineStr">
        <is>
          <t>1. お互いに残論点について詰める ＆ 教授陣に確認してもらう</t>
        </is>
      </c>
      <c r="B22" s="40" t="n"/>
      <c r="C22" s="41" t="inlineStr">
        <is>
          <t>残論点それぞれに結論が出ていて、教授陣からのコメントを受け取り、要件定義書に反映済み。</t>
        </is>
      </c>
    </row>
    <row r="23" ht="28" customHeight="1">
      <c r="A23" s="50" t="inlineStr">
        <is>
          <t>1-1. ガントチャート作成</t>
        </is>
      </c>
      <c r="B23" s="40" t="n"/>
      <c r="C23" s="41" t="inlineStr">
        <is>
          <t>本ファイルが完成し、西村氏に共有して合意が取れている。</t>
        </is>
      </c>
    </row>
    <row r="24" ht="28" customHeight="1">
      <c r="A24" s="50" t="inlineStr">
        <is>
          <t>1-2. 竹本様に連絡</t>
        </is>
      </c>
      <c r="B24" s="40" t="n"/>
      <c r="C24" s="41" t="inlineStr">
        <is>
          <t>連絡を送信し、返信を受け取っている（送っただけはレビュー待ち止まり）。</t>
        </is>
      </c>
    </row>
    <row r="25" ht="28" customHeight="1">
      <c r="A25" s="50" t="inlineStr">
        <is>
          <t>2. 共有（22:00〜）</t>
        </is>
      </c>
      <c r="B25" s="40" t="n"/>
      <c r="C25" s="41" t="inlineStr">
        <is>
          <t>MTGを実施し、決まったことを要件定義書か Context Vault に書き込んだ。</t>
        </is>
      </c>
    </row>
    <row r="26" ht="28" customHeight="1">
      <c r="A26" s="50" t="inlineStr">
        <is>
          <t>3. パーソルキャリアの企画職・DSの方に見てもらう</t>
        </is>
      </c>
      <c r="B26" s="40" t="n"/>
      <c r="C26" s="41" t="inlineStr">
        <is>
          <t>面談を実施し、もらった指摘を一覧の形で書き出した。</t>
        </is>
      </c>
    </row>
    <row r="27" ht="28" customHeight="1">
      <c r="A27" s="50" t="inlineStr">
        <is>
          <t>4. 議論</t>
        </is>
      </c>
      <c r="B27" s="40" t="n"/>
      <c r="C27" s="41" t="inlineStr">
        <is>
          <t>3 の指摘それぞれに「対応する／しない」と理由を決め、要件定義書に反映した。</t>
        </is>
      </c>
    </row>
    <row r="28" ht="28" customHeight="1">
      <c r="A28" s="50" t="inlineStr">
        <is>
          <t>5. 6. データ格納 ＆ 実行</t>
        </is>
      </c>
      <c r="B28" s="40" t="n"/>
      <c r="C28" s="41" t="inlineStr">
        <is>
          <t>下の 5-1〜5-3 が揃い、分析スクリプトが最後まで通って結果ファイルが出力されている。</t>
        </is>
      </c>
    </row>
    <row r="29" ht="28" customHeight="1">
      <c r="A29" s="50" t="inlineStr">
        <is>
          <t>5-1. 和歌山県 Q1 主観WB（幸福度／満足度）</t>
        </is>
      </c>
      <c r="B29" s="40" t="n"/>
      <c r="C29" s="41" t="inlineStr">
        <is>
          <t>該当データを取得してリポジトリにコミットし、出典URLと取得日を記録した。</t>
        </is>
      </c>
    </row>
    <row r="30" ht="28" customHeight="1">
      <c r="A30" s="50" t="inlineStr">
        <is>
          <t>5-2. 和歌山県 主観WB 各カテゴリ</t>
        </is>
      </c>
      <c r="B30" s="40" t="n"/>
      <c r="C30" s="41" t="inlineStr">
        <is>
          <t>同上。24指標のうちどれを採用したかも記録する。</t>
        </is>
      </c>
    </row>
    <row r="31" ht="28" customHeight="1">
      <c r="A31" s="50" t="inlineStr">
        <is>
          <t>5-3. 他県の主観／客観WB</t>
        </is>
      </c>
      <c r="B31" s="40" t="n"/>
      <c r="C31" s="41" t="inlineStr">
        <is>
          <t>同上。使わないと判断した場合は、その判断理由を記録すれば完了とする。</t>
        </is>
      </c>
    </row>
    <row r="32" ht="28" customHeight="1">
      <c r="A32" s="50" t="inlineStr">
        <is>
          <t>7. パワーポイントの作成 ＆ 応募用紙作成</t>
        </is>
      </c>
      <c r="B32" s="40" t="n"/>
      <c r="C32" s="41" t="inlineStr">
        <is>
          <t>応募用紙が全項目埋まり、プレゼン資料が最初から最後まで通しでつながっている。</t>
        </is>
      </c>
    </row>
    <row r="33" ht="28" customHeight="1">
      <c r="A33" s="50" t="inlineStr">
        <is>
          <t>8. 練習 ＆ 各個人で他者に見てもらう</t>
        </is>
      </c>
      <c r="B33" s="40" t="n"/>
      <c r="C33" s="41" t="inlineStr">
        <is>
          <t>通しで練習し、第三者からのフィードバックを一覧に書き出した。</t>
        </is>
      </c>
    </row>
    <row r="34" ht="28" customHeight="1">
      <c r="A34" s="50" t="inlineStr">
        <is>
          <t>9. FB改善</t>
        </is>
      </c>
      <c r="B34" s="40" t="n"/>
      <c r="C34" s="41" t="inlineStr">
        <is>
          <t>フィードバック一覧の各項目に「反映済み」か「見送り＋理由」が入っている。</t>
        </is>
      </c>
    </row>
    <row r="35" ht="28" customHeight="1">
      <c r="A35" s="50" t="inlineStr">
        <is>
          <t>10. 最終書類確認 ＆ 提出</t>
        </is>
      </c>
      <c r="B35" s="40" t="n"/>
      <c r="C35" s="41" t="inlineStr">
        <is>
          <t>提出を完了し、受領の確認が取れている。</t>
        </is>
      </c>
    </row>
    <row r="36" ht="28" customHeight="1">
      <c r="A36" s="50" t="inlineStr">
        <is>
          <t>11. 練習</t>
        </is>
      </c>
      <c r="B36" s="40" t="n"/>
      <c r="C36" s="41" t="inlineStr">
        <is>
          <t>本番と同じ時間配分で通し練習を実施した。</t>
        </is>
      </c>
    </row>
    <row r="37" ht="28" customHeight="1">
      <c r="A37" s="50" t="inlineStr">
        <is>
          <t>12. 本番</t>
        </is>
      </c>
      <c r="B37" s="40" t="n"/>
      <c r="C37" s="41" t="inlineStr">
        <is>
          <t>発表を実施した。</t>
        </is>
      </c>
    </row>
    <row r="38" ht="28" customHeight="1">
      <c r="A38" s="50" t="inlineStr">
        <is>
          <t>応募用紙 / プレゼン資料</t>
        </is>
      </c>
      <c r="B38" s="40" t="n"/>
      <c r="C38" s="41" t="inlineStr">
        <is>
          <t>7 と同じ基準。7 の内訳としてこの2行で進捗を見る。</t>
        </is>
      </c>
    </row>
  </sheetData>
  <mergeCells count="22">
    <mergeCell ref="A24:B24"/>
    <mergeCell ref="A30:B30"/>
    <mergeCell ref="A36:B36"/>
    <mergeCell ref="A3:C3"/>
    <mergeCell ref="B4"/>
    <mergeCell ref="A25:B25"/>
    <mergeCell ref="A37:B37"/>
    <mergeCell ref="A27:B27"/>
    <mergeCell ref="A20:C20"/>
    <mergeCell ref="A10:C10"/>
    <mergeCell ref="A26:B26"/>
    <mergeCell ref="A21:B21"/>
    <mergeCell ref="A33:B33"/>
    <mergeCell ref="A32:B32"/>
    <mergeCell ref="A23:B23"/>
    <mergeCell ref="A22:B22"/>
    <mergeCell ref="A35:B35"/>
    <mergeCell ref="A38:B38"/>
    <mergeCell ref="A29:B29"/>
    <mergeCell ref="A28:B28"/>
    <mergeCell ref="A31:B3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2026-08-10T11:05:57Z</dcterms:created>
  <dcterms:modified xmlns:dcterms="http://purl.org/dc/terms/" xmlns:xsi="http://www.w3.org/2001/XMLSchema-instance" xsi:type="dcterms:W3CDTF">2026-08-10T11:05:58Z</dcterms:modified>
</cp:coreProperties>
</file>